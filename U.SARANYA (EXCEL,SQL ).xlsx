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uriy\Downloads\"/>
    </mc:Choice>
  </mc:AlternateContent>
  <xr:revisionPtr revIDLastSave="0" documentId="8_{DE14A28C-7964-4239-85BF-3947A8960845}" xr6:coauthVersionLast="47" xr6:coauthVersionMax="47" xr10:uidLastSave="{00000000-0000-0000-0000-000000000000}"/>
  <bookViews>
    <workbookView xWindow="-108" yWindow="-108" windowWidth="23256" windowHeight="12456" firstSheet="1" activeTab="7" xr2:uid="{8B6325EB-44CE-4535-8F29-4AFD4DE7A004}"/>
  </bookViews>
  <sheets>
    <sheet name="u.saranya excel 1 mark" sheetId="1" r:id="rId1"/>
    <sheet name="2 mark" sheetId="2" r:id="rId2"/>
    <sheet name="Sheet6" sheetId="6" r:id="rId3"/>
    <sheet name="Sheet9" sheetId="12" r:id="rId4"/>
    <sheet name="dashboard" sheetId="16" r:id="rId5"/>
    <sheet name="Detail1" sheetId="14" r:id="rId6"/>
    <sheet name="Sheet10" sheetId="13" r:id="rId7"/>
    <sheet name="Sheet11" sheetId="15" r:id="rId8"/>
    <sheet name="Global finance data" sheetId="8" r:id="rId9"/>
    <sheet name="Sheet7" sheetId="7" r:id="rId10"/>
  </sheets>
  <definedNames>
    <definedName name="ExternalData_1" localSheetId="8" hidden="1">'Global finance data'!$A$1:$Z$40</definedName>
    <definedName name="Slicer_Country">#N/A</definedName>
    <definedName name="Slicer_Date">#N/A</definedName>
  </definedNames>
  <calcPr calcId="191029"/>
  <pivotCaches>
    <pivotCache cacheId="5" r:id="rId11"/>
    <pivotCache cacheId="24" r:id="rId12"/>
    <pivotCache cacheId="23" r:id="rId13"/>
    <pivotCache cacheId="3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2" l="1"/>
  <c r="D40" i="2"/>
  <c r="D28" i="2"/>
  <c r="H7" i="2"/>
  <c r="F8" i="2" a="1"/>
  <c r="F8" i="2" s="1"/>
  <c r="F7" i="2"/>
  <c r="F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2B91CA-18C8-4018-84F2-211204DA6130}" keepAlive="1" name="Query - Global finance data" description="Connection to the 'Global finance data' query in the workbook." type="5" refreshedVersion="8" background="1" saveData="1">
    <dbPr connection="Provider=Microsoft.Mashup.OleDb.1;Data Source=$Workbook$;Location=&quot;Global finance data&quot;;Extended Properties=&quot;&quot;" command="SELECT * FROM [Global finance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<sst xmlns="http://schemas.openxmlformats.org/spreadsheetml/2006/main" count="936" uniqueCount="279">
  <si>
    <t xml:space="preserve">MILE-STONE EXCEL,SQL </t>
  </si>
  <si>
    <t>ONE MARK (PART-A)</t>
  </si>
  <si>
    <t xml:space="preserve">Mile-Stone 1: Advance Excel &amp; MySql </t>
  </si>
  <si>
    <t xml:space="preserve">Part A – 1 Mark MCQs (30 Marks) </t>
  </si>
  <si>
    <t xml:space="preserve">Excel (15 MCQs – 1 Mark each) </t>
  </si>
  <si>
    <t xml:space="preserve">1. Which funcƟ on is used to count only numeric values in Excel? </t>
  </si>
  <si>
    <t xml:space="preserve">b) COUNT </t>
  </si>
  <si>
    <t xml:space="preserve">2. Shortcut key to create a new worksheet in Excel? </t>
  </si>
  <si>
    <t xml:space="preserve">c) ShiŌ + F11 </t>
  </si>
  <si>
    <t xml:space="preserve">3. Which funcƟ on returns the current system date in Excel? </t>
  </si>
  <si>
    <t xml:space="preserve">c) TODAY() </t>
  </si>
  <si>
    <t xml:space="preserve">4. In Pivot tables, grouping dates by month helps in: </t>
  </si>
  <si>
    <t xml:space="preserve">b) AggregaƟ ng data </t>
  </si>
  <si>
    <t xml:space="preserve">5. Which chart type is best suited for showing trends over Ɵme? </t>
  </si>
  <si>
    <t xml:space="preserve">c) Line Chart </t>
  </si>
  <si>
    <t xml:space="preserve">6. The funcƟ on =IF(A1&gt;50,"Pass","Fail") is an example of: </t>
  </si>
  <si>
    <t xml:space="preserve">b) Logical funcƟ on </t>
  </si>
  <si>
    <t xml:space="preserve">7. Which Excel funcƟ on returns the relaƟ ve posiƟ on of an item in a range? </t>
  </si>
  <si>
    <t xml:space="preserve">8. Power Query is mainly used for: </t>
  </si>
  <si>
    <t xml:space="preserve">b) Data cleaning and transformaƟ on </t>
  </si>
  <si>
    <t xml:space="preserve">9. Which of the following is NOT an Excel data type? </t>
  </si>
  <si>
    <t xml:space="preserve">d) Cluster </t>
  </si>
  <si>
    <t xml:space="preserve">10. In Excel dashboards, KPIs are used to: </t>
  </si>
  <si>
    <t xml:space="preserve">b) Represent key business metrics </t>
  </si>
  <si>
    <t xml:space="preserve">11. The OFFSET funcƟ on in Excel is a: </t>
  </si>
  <si>
    <t xml:space="preserve">b) Reference funcƟ on </t>
  </si>
  <si>
    <t xml:space="preserve">12. The shortcut key for Goal Seek in Excel is found under: </t>
  </si>
  <si>
    <t xml:space="preserve">a) Data → What-if Analysis </t>
  </si>
  <si>
    <t xml:space="preserve">13. Which feature allows saving a sequence of acƟ ons for reuse? </t>
  </si>
  <si>
    <t xml:space="preserve">b) Macro </t>
  </si>
  <si>
    <t xml:space="preserve">14. CondiƟ onal Formaƫ ng in Excel is used to: </t>
  </si>
  <si>
    <t xml:space="preserve">a) Highlight data based on rules </t>
  </si>
  <si>
    <t xml:space="preserve">d) Rectangle </t>
  </si>
  <si>
    <t xml:space="preserve">16. Which of the following is NOT a DML command? </t>
  </si>
  <si>
    <t xml:space="preserve">d) CREATE </t>
  </si>
  <si>
    <t xml:space="preserve">17. Which MySQL command is used to remove a table? </t>
  </si>
  <si>
    <t xml:space="preserve">c) DROP </t>
  </si>
  <si>
    <r>
      <t xml:space="preserve">18. In SQL, </t>
    </r>
    <r>
      <rPr>
        <sz val="9.3000000000000007"/>
        <color rgb="FF000000"/>
        <rFont val="CIDFont"/>
      </rPr>
      <t>COUNT(*)</t>
    </r>
    <r>
      <rPr>
        <sz val="11.25"/>
        <color rgb="FF000000"/>
        <rFont val="CIDFont"/>
      </rPr>
      <t xml:space="preserve"> returns: </t>
    </r>
  </si>
  <si>
    <t xml:space="preserve">c) All rows including NULL </t>
  </si>
  <si>
    <t xml:space="preserve">19. Which constraint ensures unique values in a column? </t>
  </si>
  <si>
    <t xml:space="preserve">c) UNIQUE </t>
  </si>
  <si>
    <t xml:space="preserve">20. Which of the following is a TCL command? </t>
  </si>
  <si>
    <t xml:space="preserve">b) COMMIT </t>
  </si>
  <si>
    <t xml:space="preserve">21. The default port for MySQL server is: </t>
  </si>
  <si>
    <t xml:space="preserve">b) 3306 </t>
  </si>
  <si>
    <t xml:space="preserve">22. Which operator is used for pattern matching in SQL? </t>
  </si>
  <si>
    <t xml:space="preserve">b) LIKE </t>
  </si>
  <si>
    <r>
      <t xml:space="preserve">23.  The SQL query </t>
    </r>
    <r>
      <rPr>
        <sz val="9.3000000000000007"/>
        <color rgb="FF000000"/>
        <rFont val="CIDFont"/>
      </rPr>
      <t>SELECT NOW();</t>
    </r>
    <r>
      <rPr>
        <sz val="11.25"/>
        <color rgb="FF000000"/>
        <rFont val="CIDFont"/>
      </rPr>
      <t xml:space="preserve"> returns: </t>
    </r>
  </si>
  <si>
    <t xml:space="preserve">c) Current date &amp; time </t>
  </si>
  <si>
    <t xml:space="preserve">24. Which function is used to concatenate strings in MySQL? </t>
  </si>
  <si>
    <t xml:space="preserve">b) CONCAT() c) JOIN() </t>
  </si>
  <si>
    <t xml:space="preserve">b) MATCH </t>
  </si>
  <si>
    <t xml:space="preserve">15. Which of the following is not a valid Excel chart? </t>
  </si>
  <si>
    <r>
      <t xml:space="preserve">25. In MySQL, </t>
    </r>
    <r>
      <rPr>
        <sz val="9.3000000000000007"/>
        <color rgb="FF000000"/>
        <rFont val="CIDFont"/>
      </rPr>
      <t>CASCADE</t>
    </r>
    <r>
      <rPr>
        <sz val="11.25"/>
        <color rgb="FF000000"/>
        <rFont val="CIDFont"/>
      </rPr>
      <t xml:space="preserve"> option is used with: </t>
    </r>
  </si>
  <si>
    <t xml:space="preserve">c) FOREIGN KEY </t>
  </si>
  <si>
    <t xml:space="preserve">26. Which join returns only matching rows from both tables? </t>
  </si>
  <si>
    <t xml:space="preserve">a) INNER JOIN </t>
  </si>
  <si>
    <t xml:space="preserve">27. Which of the following is NOT an aggregate function? </t>
  </si>
  <si>
    <t xml:space="preserve">d) CONCAT() </t>
  </si>
  <si>
    <t xml:space="preserve">28. A subquery inside a WHERE clause is called: </t>
  </si>
  <si>
    <t xml:space="preserve">a) Nested Query </t>
  </si>
  <si>
    <t xml:space="preserve">29. The process of minimizing redundancy in DB design is called: </t>
  </si>
  <si>
    <t xml:space="preserve">b) Optimization </t>
  </si>
  <si>
    <t>30. A database trigger executes:</t>
  </si>
  <si>
    <t xml:space="preserve">a) Automatically on events </t>
  </si>
  <si>
    <t xml:space="preserve">Part B – II Marks </t>
  </si>
  <si>
    <r>
      <t xml:space="preserve">1. Use </t>
    </r>
    <r>
      <rPr>
        <b/>
        <sz val="11.25"/>
        <color rgb="FF000000"/>
        <rFont val="CIDFont"/>
      </rPr>
      <t>VLOOKUP</t>
    </r>
    <r>
      <rPr>
        <sz val="11.25"/>
        <color rgb="FF000000"/>
        <rFont val="CIDFont"/>
      </rPr>
      <t xml:space="preserve"> to find the department name of Employee ID 105 from the employee </t>
    </r>
  </si>
  <si>
    <t xml:space="preserve">table. </t>
  </si>
  <si>
    <r>
      <t xml:space="preserve">5. Perform a </t>
    </r>
    <r>
      <rPr>
        <b/>
        <sz val="11.25"/>
        <color rgb="FF000000"/>
        <rFont val="CIDFont"/>
      </rPr>
      <t>Goal Seek</t>
    </r>
    <r>
      <rPr>
        <sz val="11.25"/>
        <color rgb="FF000000"/>
        <rFont val="CIDFont"/>
      </rPr>
      <t xml:space="preserve"> to find what sales amount is required to reach a profit of </t>
    </r>
  </si>
  <si>
    <t>10,000, if profit = sales × 0.2.</t>
  </si>
  <si>
    <t>Country</t>
  </si>
  <si>
    <t>Date</t>
  </si>
  <si>
    <t>Stock_Index</t>
  </si>
  <si>
    <t>Index_Value</t>
  </si>
  <si>
    <t>Daily_Change_Percent</t>
  </si>
  <si>
    <t>Market_Cap_Trillion_USD</t>
  </si>
  <si>
    <t>GDP_Growth_Rate_Percent</t>
  </si>
  <si>
    <t>Inflation_Rate_Percent</t>
  </si>
  <si>
    <t>Interest_Rate_Percent</t>
  </si>
  <si>
    <t>Unemployment_Rate_Percent</t>
  </si>
  <si>
    <t>Currency_Code</t>
  </si>
  <si>
    <t>Exchange_Rate_USD</t>
  </si>
  <si>
    <t>Currency_Change_YTD_Percent</t>
  </si>
  <si>
    <t>Government_Debt_GDP_Percent</t>
  </si>
  <si>
    <t>Current_Account_Balance_Billion_USD</t>
  </si>
  <si>
    <t>FDI_Inflow_Billion_USD</t>
  </si>
  <si>
    <t>Commodity_Index</t>
  </si>
  <si>
    <t>Oil_Price_USD_Barrel</t>
  </si>
  <si>
    <t>Gold_Price_USD_Ounce</t>
  </si>
  <si>
    <t>Bond_Yield_10Y_Percent</t>
  </si>
  <si>
    <t>Credit_Rating</t>
  </si>
  <si>
    <t>Political_Risk_Score</t>
  </si>
  <si>
    <t>Banking_Sector_Health</t>
  </si>
  <si>
    <t>Real_Estate_Index</t>
  </si>
  <si>
    <t>Export_Growth_Percent</t>
  </si>
  <si>
    <t>Import_Growth_Percent</t>
  </si>
  <si>
    <t>United States</t>
  </si>
  <si>
    <t>S&amp;P_500</t>
  </si>
  <si>
    <t>USD</t>
  </si>
  <si>
    <t>AAA</t>
  </si>
  <si>
    <t>Strong</t>
  </si>
  <si>
    <t>China</t>
  </si>
  <si>
    <t>Shanghai_Composite</t>
  </si>
  <si>
    <t>CNY</t>
  </si>
  <si>
    <t>A+</t>
  </si>
  <si>
    <t>Moderate</t>
  </si>
  <si>
    <t>Japan</t>
  </si>
  <si>
    <t>Nikkei_225</t>
  </si>
  <si>
    <t>JPY</t>
  </si>
  <si>
    <t>Germany</t>
  </si>
  <si>
    <t>DAX</t>
  </si>
  <si>
    <t>EUR</t>
  </si>
  <si>
    <t>United Kingdom</t>
  </si>
  <si>
    <t>FTSE_100</t>
  </si>
  <si>
    <t>GBP</t>
  </si>
  <si>
    <t>AA</t>
  </si>
  <si>
    <t>France</t>
  </si>
  <si>
    <t>CAC_40</t>
  </si>
  <si>
    <t>India</t>
  </si>
  <si>
    <t>Sensex</t>
  </si>
  <si>
    <t>INR</t>
  </si>
  <si>
    <t>BBB-</t>
  </si>
  <si>
    <t>Canada</t>
  </si>
  <si>
    <t>TSX</t>
  </si>
  <si>
    <t>CAD</t>
  </si>
  <si>
    <t>Brazil</t>
  </si>
  <si>
    <t>Bovespa</t>
  </si>
  <si>
    <t>BRL</t>
  </si>
  <si>
    <t>BB-</t>
  </si>
  <si>
    <t>Weak</t>
  </si>
  <si>
    <t>Australia</t>
  </si>
  <si>
    <t>ASX_200</t>
  </si>
  <si>
    <t>AUD</t>
  </si>
  <si>
    <t>South Korea</t>
  </si>
  <si>
    <t>KOSPI</t>
  </si>
  <si>
    <t>KRW</t>
  </si>
  <si>
    <t>Russia</t>
  </si>
  <si>
    <t>MOEX</t>
  </si>
  <si>
    <t>RUB</t>
  </si>
  <si>
    <t>BB+</t>
  </si>
  <si>
    <t>Mexico</t>
  </si>
  <si>
    <t>IPC</t>
  </si>
  <si>
    <t>MXN</t>
  </si>
  <si>
    <t>BBB</t>
  </si>
  <si>
    <t>Italy</t>
  </si>
  <si>
    <t>FTSE_MIB</t>
  </si>
  <si>
    <t>Spain</t>
  </si>
  <si>
    <t>IBEX_35</t>
  </si>
  <si>
    <t>A</t>
  </si>
  <si>
    <t>Netherlands</t>
  </si>
  <si>
    <t>AEX</t>
  </si>
  <si>
    <t>Switzerland</t>
  </si>
  <si>
    <t>SMI</t>
  </si>
  <si>
    <t>CHF</t>
  </si>
  <si>
    <t>Sweden</t>
  </si>
  <si>
    <t>OMX_Stockholm</t>
  </si>
  <si>
    <t>SEK</t>
  </si>
  <si>
    <t>Norway</t>
  </si>
  <si>
    <t>OSE</t>
  </si>
  <si>
    <t>NOK</t>
  </si>
  <si>
    <t>Denmark</t>
  </si>
  <si>
    <t>OMXC_20</t>
  </si>
  <si>
    <t>DKK</t>
  </si>
  <si>
    <t>Singapore</t>
  </si>
  <si>
    <t>STI</t>
  </si>
  <si>
    <t>SGD</t>
  </si>
  <si>
    <t>Hong Kong</t>
  </si>
  <si>
    <t>Hang_Seng</t>
  </si>
  <si>
    <t>HKD</t>
  </si>
  <si>
    <t>AA+</t>
  </si>
  <si>
    <t>Taiwan</t>
  </si>
  <si>
    <t>TAIEX</t>
  </si>
  <si>
    <t>TWD</t>
  </si>
  <si>
    <t>Indonesia</t>
  </si>
  <si>
    <t>JCI</t>
  </si>
  <si>
    <t>IDR</t>
  </si>
  <si>
    <t>Thailand</t>
  </si>
  <si>
    <t>SET</t>
  </si>
  <si>
    <t>THB</t>
  </si>
  <si>
    <t>BBB+</t>
  </si>
  <si>
    <t>Malaysia</t>
  </si>
  <si>
    <t>KLCI</t>
  </si>
  <si>
    <t>MYR</t>
  </si>
  <si>
    <t>A-</t>
  </si>
  <si>
    <t>Philippines</t>
  </si>
  <si>
    <t>PSE</t>
  </si>
  <si>
    <t>PHP</t>
  </si>
  <si>
    <t>Vietnam</t>
  </si>
  <si>
    <t>VN_Index</t>
  </si>
  <si>
    <t>VND</t>
  </si>
  <si>
    <t>Turkey</t>
  </si>
  <si>
    <t>BIST_100</t>
  </si>
  <si>
    <t>TRY</t>
  </si>
  <si>
    <t>B+</t>
  </si>
  <si>
    <t>South Africa</t>
  </si>
  <si>
    <t>JSE</t>
  </si>
  <si>
    <t>ZAR</t>
  </si>
  <si>
    <t>Egypt</t>
  </si>
  <si>
    <t>EGX_30</t>
  </si>
  <si>
    <t>EGP</t>
  </si>
  <si>
    <t>Nigeria</t>
  </si>
  <si>
    <t>NSE</t>
  </si>
  <si>
    <t>NGN</t>
  </si>
  <si>
    <t>B-</t>
  </si>
  <si>
    <t>Chile</t>
  </si>
  <si>
    <t>IPSA</t>
  </si>
  <si>
    <t>CLP</t>
  </si>
  <si>
    <t>Argentina</t>
  </si>
  <si>
    <t>Merval</t>
  </si>
  <si>
    <t>ARS</t>
  </si>
  <si>
    <t>CCC+</t>
  </si>
  <si>
    <t>Colombia</t>
  </si>
  <si>
    <t>COLCAP</t>
  </si>
  <si>
    <t>COP</t>
  </si>
  <si>
    <t>Peru</t>
  </si>
  <si>
    <t>Lima_General</t>
  </si>
  <si>
    <t>PEN</t>
  </si>
  <si>
    <t>UAE</t>
  </si>
  <si>
    <t>ADX</t>
  </si>
  <si>
    <t>AED</t>
  </si>
  <si>
    <t>Saudi Arabia</t>
  </si>
  <si>
    <t>Tadawul</t>
  </si>
  <si>
    <t>SAR</t>
  </si>
  <si>
    <t>Israel</t>
  </si>
  <si>
    <t>TA_125</t>
  </si>
  <si>
    <t>ILS</t>
  </si>
  <si>
    <t>Region, Sales.</t>
  </si>
  <si>
    <t>Admin</t>
  </si>
  <si>
    <t>EmployeeID</t>
  </si>
  <si>
    <t>EmployeeName</t>
  </si>
  <si>
    <t>Department</t>
  </si>
  <si>
    <t>Sara</t>
  </si>
  <si>
    <t>Lina</t>
  </si>
  <si>
    <t>Raj</t>
  </si>
  <si>
    <t>John</t>
  </si>
  <si>
    <t>Amit</t>
  </si>
  <si>
    <t>Emma</t>
  </si>
  <si>
    <t>HR</t>
  </si>
  <si>
    <t>Finance</t>
  </si>
  <si>
    <t>IT</t>
  </si>
  <si>
    <t>Marketing</t>
  </si>
  <si>
    <t>Sales</t>
  </si>
  <si>
    <r>
      <t xml:space="preserve">2.Create a </t>
    </r>
    <r>
      <rPr>
        <b/>
        <sz val="11.25"/>
        <color rgb="FF000000"/>
        <rFont val="CIDFont"/>
      </rPr>
      <t>Pivot Table</t>
    </r>
    <r>
      <rPr>
        <sz val="11.25"/>
        <color rgb="FF000000"/>
        <rFont val="CIDFont"/>
      </rPr>
      <t xml:space="preserve"> to show total sales by Region from a dataset containing OrderID, </t>
    </r>
  </si>
  <si>
    <t>Sales Table</t>
  </si>
  <si>
    <t>Order id</t>
  </si>
  <si>
    <t>region</t>
  </si>
  <si>
    <t>sales</t>
  </si>
  <si>
    <t>South</t>
  </si>
  <si>
    <t>East</t>
  </si>
  <si>
    <t>West</t>
  </si>
  <si>
    <t>North</t>
  </si>
  <si>
    <t>Row Labels</t>
  </si>
  <si>
    <t>Sum of Order id</t>
  </si>
  <si>
    <t>Grand Total</t>
  </si>
  <si>
    <t>3.Apply CondiƟ onal Formaƫ ng to highlight all sales values greater than 50,000 in red.</t>
  </si>
  <si>
    <t>4. Use TEXT funcƟ on to display today’s date in the format DD-MMM-YYYY.</t>
  </si>
  <si>
    <t>TEXT(TODAY(), "dd-mmm-yyyy")</t>
  </si>
  <si>
    <t>Profit</t>
  </si>
  <si>
    <t>profit</t>
  </si>
  <si>
    <t>(blank)</t>
  </si>
  <si>
    <t>Sum of Daily_Change_Percent</t>
  </si>
  <si>
    <t>Sum of Market_Cap_Trillion_USD</t>
  </si>
  <si>
    <t>Sum of Inflation_Rate_Percent</t>
  </si>
  <si>
    <t>Sum of Unemployment_Rate_Percent</t>
  </si>
  <si>
    <t>Sum of Interest_Rate_Percent</t>
  </si>
  <si>
    <t>Formula1</t>
  </si>
  <si>
    <t>Sum of Government_Debt_GDP_Percent</t>
  </si>
  <si>
    <t xml:space="preserve">GLOBAL  MARKET OVERVIEW </t>
  </si>
  <si>
    <t>ECONOMIC INDICATORS</t>
  </si>
  <si>
    <t>Sum of Import_Growth_Percent</t>
  </si>
  <si>
    <t>Sum of Export_Growth_Percent</t>
  </si>
  <si>
    <t>Sum of Current_Account_Balance_Billion_USD</t>
  </si>
  <si>
    <t>Sum of Oil_Price_USD_Barrel</t>
  </si>
  <si>
    <t>Sum of Gold_Price_USD_Ounce</t>
  </si>
  <si>
    <t>Details for Sum of Current_Account_Balance_Billion_USD - Date: 8/15/2024</t>
  </si>
  <si>
    <t>Count of Country</t>
  </si>
  <si>
    <t>Sum of Political_Risk_Score</t>
  </si>
  <si>
    <t>Count of Banking_Sector_Health</t>
  </si>
  <si>
    <t xml:space="preserve">goal seek=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</si>
</sst>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25"/>
      <color rgb="FF000000"/>
      <name val="CIDFont"/>
    </font>
    <font>
      <b/>
      <sz val="11.25"/>
      <color rgb="FF000000"/>
      <name val="CIDFont"/>
    </font>
    <font>
      <sz val="9.3000000000000007"/>
      <color rgb="FF000000"/>
      <name val="CIDFont"/>
    </font>
  </fonts>
  <fills count="5">
    <fill>
      <patternFill patternType="none"/>
    </fill>
    <fill>
      <patternFill patternType="gray125"/>
    </fill>
    <fill>
      <patternFill patternType="solid">
        <fgColor theme="8" tint="0.39997558519241921"/>
        <bgColor indexed="64"/>
      </patternFill>
    </fill>
    <fill>
      <patternFill patternType="solid">
        <fgColor theme="4"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2" fillId="0" borderId="0" xfId="0" applyFont="1"/>
    <xf numFmtId="0" fontId="3" fillId="0" borderId="0" xfId="0" applyFont="1"/>
    <xf numFmtId="0" fontId="2" fillId="0" borderId="0" xfId="0" applyFont="1" applyAlignment="1">
      <alignment wrapText="1"/>
    </xf>
    <xf numFmtId="14" fontId="0" fillId="0" borderId="0" xfId="0" applyNumberFormat="1"/>
    <xf numFmtId="0" fontId="2" fillId="0" borderId="0" xfId="0" applyFont="1" applyAlignment="1">
      <alignment vertical="center"/>
    </xf>
    <xf numFmtId="0" fontId="0" fillId="0" borderId="0" xfId="0" applyAlignment="1">
      <alignment vertical="center"/>
    </xf>
    <xf numFmtId="0" fontId="2" fillId="0" borderId="1" xfId="0" applyFont="1" applyBorder="1"/>
    <xf numFmtId="0" fontId="2" fillId="0" borderId="1" xfId="0" applyFont="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0" fillId="0" borderId="1" xfId="0" applyBorder="1" applyAlignment="1">
      <alignment horizontal="center"/>
    </xf>
    <xf numFmtId="0" fontId="0" fillId="2" borderId="1" xfId="0" applyFill="1" applyBorder="1" applyAlignment="1">
      <alignment horizontal="center"/>
    </xf>
    <xf numFmtId="0" fontId="3" fillId="2" borderId="1" xfId="0" applyFont="1" applyFill="1" applyBorder="1"/>
    <xf numFmtId="0" fontId="2" fillId="2" borderId="1" xfId="0" applyFont="1" applyFill="1" applyBorder="1" applyAlignment="1">
      <alignment wrapText="1"/>
    </xf>
    <xf numFmtId="0" fontId="2" fillId="2" borderId="1" xfId="0" applyFont="1" applyFill="1" applyBorder="1"/>
    <xf numFmtId="0" fontId="1" fillId="3" borderId="1" xfId="0" applyFont="1" applyFill="1" applyBorder="1"/>
    <xf numFmtId="0" fontId="0" fillId="0" borderId="1" xfId="0" applyBorder="1"/>
    <xf numFmtId="0" fontId="0" fillId="0" borderId="2" xfId="0" applyBorder="1"/>
    <xf numFmtId="0" fontId="0" fillId="0" borderId="0" xfId="0" applyBorder="1"/>
    <xf numFmtId="0" fontId="1" fillId="4" borderId="0" xfId="0" applyFont="1" applyFill="1" applyBorder="1"/>
    <xf numFmtId="0" fontId="0" fillId="4" borderId="0" xfId="0" applyFill="1" applyBorder="1"/>
    <xf numFmtId="14" fontId="0" fillId="0" borderId="0" xfId="0" applyNumberFormat="1" applyAlignment="1">
      <alignment horizontal="left"/>
    </xf>
  </cellXfs>
  <cellStyles count="1">
    <cellStyle name="Normal" xfId="0" builtinId="0"/>
  </cellStyles>
  <dxfs count="8">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Sheet6!$A$4:$A$44</c:f>
              <c:strCache>
                <c:ptCount val="40"/>
                <c:pt idx="0">
                  <c:v>Merval</c:v>
                </c:pt>
                <c:pt idx="1">
                  <c:v>BIST_100</c:v>
                </c:pt>
                <c:pt idx="2">
                  <c:v>NSE</c:v>
                </c:pt>
                <c:pt idx="3">
                  <c:v>Bovespa</c:v>
                </c:pt>
                <c:pt idx="4">
                  <c:v>EGX_30</c:v>
                </c:pt>
                <c:pt idx="5">
                  <c:v>Nikkei_225</c:v>
                </c:pt>
                <c:pt idx="6">
                  <c:v>VN_Index</c:v>
                </c:pt>
                <c:pt idx="7">
                  <c:v>Lima_General</c:v>
                </c:pt>
                <c:pt idx="8">
                  <c:v>IPC</c:v>
                </c:pt>
                <c:pt idx="9">
                  <c:v>PSE</c:v>
                </c:pt>
                <c:pt idx="10">
                  <c:v>Sensex</c:v>
                </c:pt>
                <c:pt idx="11">
                  <c:v>COLCAP</c:v>
                </c:pt>
                <c:pt idx="12">
                  <c:v>TAIEX</c:v>
                </c:pt>
                <c:pt idx="13">
                  <c:v>MOEX</c:v>
                </c:pt>
                <c:pt idx="14">
                  <c:v>JSE</c:v>
                </c:pt>
                <c:pt idx="15">
                  <c:v>IPSA</c:v>
                </c:pt>
                <c:pt idx="16">
                  <c:v>DAX</c:v>
                </c:pt>
                <c:pt idx="17">
                  <c:v>OSE</c:v>
                </c:pt>
                <c:pt idx="18">
                  <c:v>KLCI</c:v>
                </c:pt>
                <c:pt idx="19">
                  <c:v>IBEX_35</c:v>
                </c:pt>
                <c:pt idx="20">
                  <c:v>Tadawul</c:v>
                </c:pt>
                <c:pt idx="21">
                  <c:v>STI</c:v>
                </c:pt>
                <c:pt idx="22">
                  <c:v>OMX_Stockholm</c:v>
                </c:pt>
                <c:pt idx="23">
                  <c:v>JCI</c:v>
                </c:pt>
                <c:pt idx="24">
                  <c:v>TSX</c:v>
                </c:pt>
                <c:pt idx="25">
                  <c:v>S&amp;P_500</c:v>
                </c:pt>
                <c:pt idx="26">
                  <c:v>ADX</c:v>
                </c:pt>
                <c:pt idx="27">
                  <c:v>FTSE_MIB</c:v>
                </c:pt>
                <c:pt idx="28">
                  <c:v>SET</c:v>
                </c:pt>
                <c:pt idx="29">
                  <c:v>SMI</c:v>
                </c:pt>
                <c:pt idx="30">
                  <c:v>CAC_40</c:v>
                </c:pt>
                <c:pt idx="31">
                  <c:v>OMXC_20</c:v>
                </c:pt>
                <c:pt idx="32">
                  <c:v>ASX_200</c:v>
                </c:pt>
                <c:pt idx="33">
                  <c:v>AEX</c:v>
                </c:pt>
                <c:pt idx="34">
                  <c:v>(blank)</c:v>
                </c:pt>
                <c:pt idx="35">
                  <c:v>FTSE_100</c:v>
                </c:pt>
                <c:pt idx="36">
                  <c:v>KOSPI</c:v>
                </c:pt>
                <c:pt idx="37">
                  <c:v>TA_125</c:v>
                </c:pt>
                <c:pt idx="38">
                  <c:v>Shanghai_Composite</c:v>
                </c:pt>
                <c:pt idx="39">
                  <c:v>Hang_Seng</c:v>
                </c:pt>
              </c:strCache>
            </c:strRef>
          </c:cat>
          <c:val>
            <c:numRef>
              <c:f>Sheet6!$B$4:$B$44</c:f>
              <c:numCache>
                <c:formatCode>General</c:formatCode>
                <c:ptCount val="40"/>
                <c:pt idx="0">
                  <c:v>3.45</c:v>
                </c:pt>
                <c:pt idx="1">
                  <c:v>2.34</c:v>
                </c:pt>
                <c:pt idx="2">
                  <c:v>2.1</c:v>
                </c:pt>
                <c:pt idx="3">
                  <c:v>1.67</c:v>
                </c:pt>
                <c:pt idx="4">
                  <c:v>1.45</c:v>
                </c:pt>
                <c:pt idx="5">
                  <c:v>1.24</c:v>
                </c:pt>
                <c:pt idx="6">
                  <c:v>1.23</c:v>
                </c:pt>
                <c:pt idx="7">
                  <c:v>1.1200000000000001</c:v>
                </c:pt>
                <c:pt idx="8">
                  <c:v>0.91</c:v>
                </c:pt>
                <c:pt idx="9">
                  <c:v>0.89</c:v>
                </c:pt>
                <c:pt idx="10">
                  <c:v>0.89</c:v>
                </c:pt>
                <c:pt idx="11">
                  <c:v>0.89</c:v>
                </c:pt>
                <c:pt idx="12">
                  <c:v>0.78</c:v>
                </c:pt>
                <c:pt idx="13">
                  <c:v>0.78</c:v>
                </c:pt>
                <c:pt idx="14">
                  <c:v>0.78</c:v>
                </c:pt>
                <c:pt idx="15">
                  <c:v>0.67</c:v>
                </c:pt>
                <c:pt idx="16">
                  <c:v>0.67</c:v>
                </c:pt>
                <c:pt idx="17">
                  <c:v>0.67</c:v>
                </c:pt>
                <c:pt idx="18">
                  <c:v>0.67</c:v>
                </c:pt>
                <c:pt idx="19">
                  <c:v>0.67</c:v>
                </c:pt>
                <c:pt idx="20">
                  <c:v>0.56000000000000005</c:v>
                </c:pt>
                <c:pt idx="21">
                  <c:v>0.56000000000000005</c:v>
                </c:pt>
                <c:pt idx="22">
                  <c:v>0.45</c:v>
                </c:pt>
                <c:pt idx="23">
                  <c:v>0.45</c:v>
                </c:pt>
                <c:pt idx="24">
                  <c:v>0.45</c:v>
                </c:pt>
                <c:pt idx="25">
                  <c:v>0.34</c:v>
                </c:pt>
                <c:pt idx="26">
                  <c:v>0.34</c:v>
                </c:pt>
                <c:pt idx="27">
                  <c:v>0.34</c:v>
                </c:pt>
                <c:pt idx="28">
                  <c:v>0.34</c:v>
                </c:pt>
                <c:pt idx="29">
                  <c:v>0.28000000000000003</c:v>
                </c:pt>
                <c:pt idx="30">
                  <c:v>0.28000000000000003</c:v>
                </c:pt>
                <c:pt idx="31">
                  <c:v>0.23</c:v>
                </c:pt>
                <c:pt idx="32">
                  <c:v>0.22</c:v>
                </c:pt>
                <c:pt idx="33">
                  <c:v>0.12</c:v>
                </c:pt>
                <c:pt idx="35">
                  <c:v>-0.15</c:v>
                </c:pt>
                <c:pt idx="36">
                  <c:v>-0.34</c:v>
                </c:pt>
                <c:pt idx="37">
                  <c:v>-0.78</c:v>
                </c:pt>
                <c:pt idx="38">
                  <c:v>-0.82</c:v>
                </c:pt>
                <c:pt idx="39">
                  <c:v>-1.23</c:v>
                </c:pt>
              </c:numCache>
            </c:numRef>
          </c:val>
          <c:extLst>
            <c:ext xmlns:c16="http://schemas.microsoft.com/office/drawing/2014/chart" uri="{C3380CC4-5D6E-409C-BE32-E72D297353CC}">
              <c16:uniqueId val="{00000000-7202-4F41-A938-97EBF7661473}"/>
            </c:ext>
          </c:extLst>
        </c:ser>
        <c:dLbls>
          <c:showLegendKey val="0"/>
          <c:showVal val="0"/>
          <c:showCatName val="0"/>
          <c:showSerName val="0"/>
          <c:showPercent val="0"/>
          <c:showBubbleSize val="0"/>
        </c:dLbls>
        <c:gapWidth val="182"/>
        <c:axId val="518676464"/>
        <c:axId val="518677424"/>
      </c:barChart>
      <c:catAx>
        <c:axId val="51867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77424"/>
        <c:crosses val="autoZero"/>
        <c:auto val="1"/>
        <c:lblAlgn val="ctr"/>
        <c:lblOffset val="100"/>
        <c:noMultiLvlLbl val="0"/>
      </c:catAx>
      <c:valAx>
        <c:axId val="51867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7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).xlsx]Sheet6!PivotTable15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Sheet6!$F$3</c:f>
              <c:strCache>
                <c:ptCount val="1"/>
                <c:pt idx="0">
                  <c:v>Total</c:v>
                </c:pt>
              </c:strCache>
            </c:strRef>
          </c:tx>
          <c:spPr>
            <a:ln w="28575" cap="rnd">
              <a:solidFill>
                <a:schemeClr val="accent1"/>
              </a:solidFill>
              <a:round/>
            </a:ln>
            <a:effectLst/>
          </c:spPr>
          <c:marker>
            <c:symbol val="none"/>
          </c:marker>
          <c:cat>
            <c:strRef>
              <c:f>Sheet6!$E$4:$E$44</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Sheet6!$F$4:$F$44</c:f>
              <c:numCache>
                <c:formatCode>General</c:formatCode>
                <c:ptCount val="40"/>
                <c:pt idx="0">
                  <c:v>0.05</c:v>
                </c:pt>
                <c:pt idx="1">
                  <c:v>1.8</c:v>
                </c:pt>
                <c:pt idx="2">
                  <c:v>1.4</c:v>
                </c:pt>
                <c:pt idx="3">
                  <c:v>2.8</c:v>
                </c:pt>
                <c:pt idx="4">
                  <c:v>0.2</c:v>
                </c:pt>
                <c:pt idx="5">
                  <c:v>12.4</c:v>
                </c:pt>
                <c:pt idx="6">
                  <c:v>0.1</c:v>
                </c:pt>
                <c:pt idx="7">
                  <c:v>0.4</c:v>
                </c:pt>
                <c:pt idx="8">
                  <c:v>0.03</c:v>
                </c:pt>
                <c:pt idx="9">
                  <c:v>3</c:v>
                </c:pt>
                <c:pt idx="10">
                  <c:v>2.9</c:v>
                </c:pt>
                <c:pt idx="11">
                  <c:v>4.2</c:v>
                </c:pt>
                <c:pt idx="12">
                  <c:v>4.3</c:v>
                </c:pt>
                <c:pt idx="13">
                  <c:v>0.7</c:v>
                </c:pt>
                <c:pt idx="14">
                  <c:v>0.4</c:v>
                </c:pt>
                <c:pt idx="15">
                  <c:v>0.9</c:v>
                </c:pt>
                <c:pt idx="16">
                  <c:v>6.8</c:v>
                </c:pt>
                <c:pt idx="17">
                  <c:v>0.5</c:v>
                </c:pt>
                <c:pt idx="18">
                  <c:v>0.7</c:v>
                </c:pt>
                <c:pt idx="19">
                  <c:v>1.1000000000000001</c:v>
                </c:pt>
                <c:pt idx="20">
                  <c:v>0.04</c:v>
                </c:pt>
                <c:pt idx="21">
                  <c:v>0.4</c:v>
                </c:pt>
                <c:pt idx="22">
                  <c:v>0.08</c:v>
                </c:pt>
                <c:pt idx="23">
                  <c:v>0.3</c:v>
                </c:pt>
                <c:pt idx="24">
                  <c:v>0.6</c:v>
                </c:pt>
                <c:pt idx="25">
                  <c:v>2.8</c:v>
                </c:pt>
                <c:pt idx="26">
                  <c:v>0.8</c:v>
                </c:pt>
                <c:pt idx="27">
                  <c:v>0.4</c:v>
                </c:pt>
                <c:pt idx="28">
                  <c:v>1.9</c:v>
                </c:pt>
                <c:pt idx="29">
                  <c:v>0.8</c:v>
                </c:pt>
                <c:pt idx="30">
                  <c:v>0.7</c:v>
                </c:pt>
                <c:pt idx="31">
                  <c:v>1.8</c:v>
                </c:pt>
                <c:pt idx="32">
                  <c:v>2.1</c:v>
                </c:pt>
                <c:pt idx="33">
                  <c:v>0.6</c:v>
                </c:pt>
                <c:pt idx="34">
                  <c:v>0.3</c:v>
                </c:pt>
                <c:pt idx="35">
                  <c:v>0.7</c:v>
                </c:pt>
                <c:pt idx="36">
                  <c:v>3.1</c:v>
                </c:pt>
                <c:pt idx="37">
                  <c:v>51.2</c:v>
                </c:pt>
                <c:pt idx="38">
                  <c:v>0.3</c:v>
                </c:pt>
              </c:numCache>
            </c:numRef>
          </c:val>
          <c:smooth val="0"/>
          <c:extLst>
            <c:ext xmlns:c16="http://schemas.microsoft.com/office/drawing/2014/chart" uri="{C3380CC4-5D6E-409C-BE32-E72D297353CC}">
              <c16:uniqueId val="{00000000-FF65-4A6A-A520-12E8C95BB620}"/>
            </c:ext>
          </c:extLst>
        </c:ser>
        <c:dLbls>
          <c:showLegendKey val="0"/>
          <c:showVal val="0"/>
          <c:showCatName val="0"/>
          <c:showSerName val="0"/>
          <c:showPercent val="0"/>
          <c:showBubbleSize val="0"/>
        </c:dLbls>
        <c:smooth val="0"/>
        <c:axId val="1793052832"/>
        <c:axId val="239914688"/>
      </c:lineChart>
      <c:catAx>
        <c:axId val="179305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14688"/>
        <c:crosses val="autoZero"/>
        <c:auto val="1"/>
        <c:lblAlgn val="ctr"/>
        <c:lblOffset val="100"/>
        <c:noMultiLvlLbl val="0"/>
      </c:catAx>
      <c:valAx>
        <c:axId val="23991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5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).xlsx]Sheet9!PivotTable12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Sheet9!$F$4</c:f>
              <c:strCache>
                <c:ptCount val="1"/>
                <c:pt idx="0">
                  <c:v>Sum of Unemployment_Rate_Percent</c:v>
                </c:pt>
              </c:strCache>
            </c:strRef>
          </c:tx>
          <c:spPr>
            <a:solidFill>
              <a:schemeClr val="accent1"/>
            </a:solidFill>
            <a:ln>
              <a:noFill/>
            </a:ln>
            <a:effectLst/>
          </c:spPr>
          <c:invertIfNegative val="0"/>
          <c:cat>
            <c:strRef>
              <c:f>Sheet9!$E$5:$E$45</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Formula1</c:v>
                </c:pt>
              </c:strCache>
            </c:strRef>
          </c:cat>
          <c:val>
            <c:numRef>
              <c:f>Sheet9!$F$5:$F$45</c:f>
              <c:numCache>
                <c:formatCode>General</c:formatCode>
                <c:ptCount val="40"/>
                <c:pt idx="0">
                  <c:v>6.2</c:v>
                </c:pt>
                <c:pt idx="1">
                  <c:v>4.0999999999999996</c:v>
                </c:pt>
                <c:pt idx="2">
                  <c:v>7.8</c:v>
                </c:pt>
                <c:pt idx="3">
                  <c:v>6.1</c:v>
                </c:pt>
                <c:pt idx="4">
                  <c:v>8.8000000000000007</c:v>
                </c:pt>
                <c:pt idx="5">
                  <c:v>5.2</c:v>
                </c:pt>
                <c:pt idx="6">
                  <c:v>10.199999999999999</c:v>
                </c:pt>
                <c:pt idx="7">
                  <c:v>5.0999999999999996</c:v>
                </c:pt>
                <c:pt idx="8">
                  <c:v>7.2</c:v>
                </c:pt>
                <c:pt idx="9">
                  <c:v>7.4</c:v>
                </c:pt>
                <c:pt idx="10">
                  <c:v>3.1</c:v>
                </c:pt>
                <c:pt idx="11">
                  <c:v>2.8</c:v>
                </c:pt>
                <c:pt idx="12">
                  <c:v>3.2</c:v>
                </c:pt>
                <c:pt idx="13">
                  <c:v>5.4</c:v>
                </c:pt>
                <c:pt idx="14">
                  <c:v>3.4</c:v>
                </c:pt>
                <c:pt idx="15">
                  <c:v>7.6</c:v>
                </c:pt>
                <c:pt idx="16">
                  <c:v>2.4</c:v>
                </c:pt>
                <c:pt idx="17">
                  <c:v>3.4</c:v>
                </c:pt>
                <c:pt idx="18">
                  <c:v>2.8</c:v>
                </c:pt>
                <c:pt idx="19">
                  <c:v>3.6</c:v>
                </c:pt>
                <c:pt idx="20">
                  <c:v>5.0999999999999996</c:v>
                </c:pt>
                <c:pt idx="21">
                  <c:v>3.4</c:v>
                </c:pt>
                <c:pt idx="22">
                  <c:v>6.4</c:v>
                </c:pt>
                <c:pt idx="23">
                  <c:v>5.9</c:v>
                </c:pt>
                <c:pt idx="24">
                  <c:v>3.4</c:v>
                </c:pt>
                <c:pt idx="25">
                  <c:v>5.8</c:v>
                </c:pt>
                <c:pt idx="26">
                  <c:v>2.1</c:v>
                </c:pt>
                <c:pt idx="27">
                  <c:v>28.7</c:v>
                </c:pt>
                <c:pt idx="28">
                  <c:v>2.9</c:v>
                </c:pt>
                <c:pt idx="29">
                  <c:v>11.5</c:v>
                </c:pt>
                <c:pt idx="30">
                  <c:v>7.8</c:v>
                </c:pt>
                <c:pt idx="31">
                  <c:v>2.4</c:v>
                </c:pt>
                <c:pt idx="32">
                  <c:v>3.7</c:v>
                </c:pt>
                <c:pt idx="33">
                  <c:v>1.2</c:v>
                </c:pt>
                <c:pt idx="34">
                  <c:v>10.5</c:v>
                </c:pt>
                <c:pt idx="35">
                  <c:v>2.8</c:v>
                </c:pt>
                <c:pt idx="36">
                  <c:v>4.2</c:v>
                </c:pt>
                <c:pt idx="37">
                  <c:v>3.7</c:v>
                </c:pt>
                <c:pt idx="38">
                  <c:v>12.3</c:v>
                </c:pt>
              </c:numCache>
            </c:numRef>
          </c:val>
          <c:extLst>
            <c:ext xmlns:c16="http://schemas.microsoft.com/office/drawing/2014/chart" uri="{C3380CC4-5D6E-409C-BE32-E72D297353CC}">
              <c16:uniqueId val="{00000000-5E60-4148-BC23-F3783DB9030D}"/>
            </c:ext>
          </c:extLst>
        </c:ser>
        <c:ser>
          <c:idx val="1"/>
          <c:order val="1"/>
          <c:tx>
            <c:strRef>
              <c:f>Sheet9!$G$4</c:f>
              <c:strCache>
                <c:ptCount val="1"/>
                <c:pt idx="0">
                  <c:v>Sum of Interest_Rate_Percent</c:v>
                </c:pt>
              </c:strCache>
            </c:strRef>
          </c:tx>
          <c:spPr>
            <a:solidFill>
              <a:schemeClr val="accent2"/>
            </a:solidFill>
            <a:ln>
              <a:noFill/>
            </a:ln>
            <a:effectLst/>
          </c:spPr>
          <c:invertIfNegative val="0"/>
          <c:cat>
            <c:strRef>
              <c:f>Sheet9!$E$5:$E$45</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Formula1</c:v>
                </c:pt>
              </c:strCache>
            </c:strRef>
          </c:cat>
          <c:val>
            <c:numRef>
              <c:f>Sheet9!$G$5:$G$45</c:f>
              <c:numCache>
                <c:formatCode>General</c:formatCode>
                <c:ptCount val="40"/>
                <c:pt idx="0">
                  <c:v>133</c:v>
                </c:pt>
                <c:pt idx="1">
                  <c:v>4.3499999999999996</c:v>
                </c:pt>
                <c:pt idx="2">
                  <c:v>10.75</c:v>
                </c:pt>
                <c:pt idx="3">
                  <c:v>4.75</c:v>
                </c:pt>
                <c:pt idx="4">
                  <c:v>5.75</c:v>
                </c:pt>
                <c:pt idx="5">
                  <c:v>3.1</c:v>
                </c:pt>
                <c:pt idx="6">
                  <c:v>10.75</c:v>
                </c:pt>
                <c:pt idx="7">
                  <c:v>3.6</c:v>
                </c:pt>
                <c:pt idx="8">
                  <c:v>27.25</c:v>
                </c:pt>
                <c:pt idx="9">
                  <c:v>4.5</c:v>
                </c:pt>
                <c:pt idx="10">
                  <c:v>4.5</c:v>
                </c:pt>
                <c:pt idx="11">
                  <c:v>5.75</c:v>
                </c:pt>
                <c:pt idx="12">
                  <c:v>6.5</c:v>
                </c:pt>
                <c:pt idx="13">
                  <c:v>6</c:v>
                </c:pt>
                <c:pt idx="14">
                  <c:v>4.75</c:v>
                </c:pt>
                <c:pt idx="15">
                  <c:v>4.5</c:v>
                </c:pt>
                <c:pt idx="16">
                  <c:v>-0.1</c:v>
                </c:pt>
                <c:pt idx="17">
                  <c:v>3</c:v>
                </c:pt>
                <c:pt idx="18">
                  <c:v>11</c:v>
                </c:pt>
                <c:pt idx="19">
                  <c:v>4.5</c:v>
                </c:pt>
                <c:pt idx="20">
                  <c:v>18.75</c:v>
                </c:pt>
                <c:pt idx="21">
                  <c:v>4.5</c:v>
                </c:pt>
                <c:pt idx="22">
                  <c:v>5.75</c:v>
                </c:pt>
                <c:pt idx="23">
                  <c:v>6.5</c:v>
                </c:pt>
                <c:pt idx="24">
                  <c:v>16</c:v>
                </c:pt>
                <c:pt idx="25">
                  <c:v>6</c:v>
                </c:pt>
                <c:pt idx="26">
                  <c:v>3.5</c:v>
                </c:pt>
                <c:pt idx="27">
                  <c:v>8.25</c:v>
                </c:pt>
                <c:pt idx="28">
                  <c:v>3.5</c:v>
                </c:pt>
                <c:pt idx="29">
                  <c:v>4.5</c:v>
                </c:pt>
                <c:pt idx="30">
                  <c:v>3.75</c:v>
                </c:pt>
                <c:pt idx="31">
                  <c:v>1.25</c:v>
                </c:pt>
                <c:pt idx="32">
                  <c:v>1.5</c:v>
                </c:pt>
                <c:pt idx="33">
                  <c:v>2.5</c:v>
                </c:pt>
                <c:pt idx="34">
                  <c:v>50</c:v>
                </c:pt>
                <c:pt idx="35">
                  <c:v>5.4</c:v>
                </c:pt>
                <c:pt idx="36">
                  <c:v>5.25</c:v>
                </c:pt>
                <c:pt idx="37">
                  <c:v>5.5</c:v>
                </c:pt>
                <c:pt idx="38">
                  <c:v>4.5</c:v>
                </c:pt>
              </c:numCache>
            </c:numRef>
          </c:val>
          <c:extLst>
            <c:ext xmlns:c16="http://schemas.microsoft.com/office/drawing/2014/chart" uri="{C3380CC4-5D6E-409C-BE32-E72D297353CC}">
              <c16:uniqueId val="{00000001-5E60-4148-BC23-F3783DB9030D}"/>
            </c:ext>
          </c:extLst>
        </c:ser>
        <c:dLbls>
          <c:showLegendKey val="0"/>
          <c:showVal val="0"/>
          <c:showCatName val="0"/>
          <c:showSerName val="0"/>
          <c:showPercent val="0"/>
          <c:showBubbleSize val="0"/>
        </c:dLbls>
        <c:gapWidth val="150"/>
        <c:overlap val="100"/>
        <c:axId val="326877136"/>
        <c:axId val="326868496"/>
      </c:barChart>
      <c:catAx>
        <c:axId val="32687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868496"/>
        <c:crosses val="autoZero"/>
        <c:auto val="1"/>
        <c:lblAlgn val="ctr"/>
        <c:lblOffset val="100"/>
        <c:noMultiLvlLbl val="0"/>
      </c:catAx>
      <c:valAx>
        <c:axId val="3268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87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).xlsx]Sheet9!PivotTable10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none"/>
          </c:marker>
          <c:cat>
            <c:strRef>
              <c:f>Sheet9!$A$4:$A$27</c:f>
              <c:strCache>
                <c:ptCount val="23"/>
                <c:pt idx="0">
                  <c:v>-1.9</c:v>
                </c:pt>
                <c:pt idx="1">
                  <c:v>0.7</c:v>
                </c:pt>
                <c:pt idx="2">
                  <c:v>1.1</c:v>
                </c:pt>
                <c:pt idx="3">
                  <c:v>1.2</c:v>
                </c:pt>
                <c:pt idx="4">
                  <c:v>1.3</c:v>
                </c:pt>
                <c:pt idx="5">
                  <c:v>1.7</c:v>
                </c:pt>
                <c:pt idx="6">
                  <c:v>1.8</c:v>
                </c:pt>
                <c:pt idx="7">
                  <c:v>2</c:v>
                </c:pt>
                <c:pt idx="8">
                  <c:v>2.1</c:v>
                </c:pt>
                <c:pt idx="9">
                  <c:v>2.4</c:v>
                </c:pt>
                <c:pt idx="10">
                  <c:v>2.5</c:v>
                </c:pt>
                <c:pt idx="11">
                  <c:v>2.6</c:v>
                </c:pt>
                <c:pt idx="12">
                  <c:v>2.8</c:v>
                </c:pt>
                <c:pt idx="13">
                  <c:v>2.9</c:v>
                </c:pt>
                <c:pt idx="14">
                  <c:v>3.1</c:v>
                </c:pt>
                <c:pt idx="15">
                  <c:v>3.8</c:v>
                </c:pt>
                <c:pt idx="16">
                  <c:v>3.9</c:v>
                </c:pt>
                <c:pt idx="17">
                  <c:v>4.2</c:v>
                </c:pt>
                <c:pt idx="18">
                  <c:v>5.1</c:v>
                </c:pt>
                <c:pt idx="19">
                  <c:v>5.2</c:v>
                </c:pt>
                <c:pt idx="20">
                  <c:v>5.8</c:v>
                </c:pt>
                <c:pt idx="21">
                  <c:v>6.4</c:v>
                </c:pt>
                <c:pt idx="22">
                  <c:v>6.8</c:v>
                </c:pt>
              </c:strCache>
            </c:strRef>
          </c:cat>
          <c:val>
            <c:numRef>
              <c:f>Sheet9!$B$4:$B$27</c:f>
              <c:numCache>
                <c:formatCode>General</c:formatCode>
                <c:ptCount val="23"/>
                <c:pt idx="0">
                  <c:v>7.4</c:v>
                </c:pt>
                <c:pt idx="1">
                  <c:v>1</c:v>
                </c:pt>
                <c:pt idx="2">
                  <c:v>1.6</c:v>
                </c:pt>
                <c:pt idx="3">
                  <c:v>8.6</c:v>
                </c:pt>
                <c:pt idx="4">
                  <c:v>2.2999999999999998</c:v>
                </c:pt>
                <c:pt idx="5">
                  <c:v>3.8</c:v>
                </c:pt>
                <c:pt idx="6">
                  <c:v>1.7</c:v>
                </c:pt>
                <c:pt idx="7">
                  <c:v>2.2999999999999998</c:v>
                </c:pt>
                <c:pt idx="8">
                  <c:v>7.6</c:v>
                </c:pt>
                <c:pt idx="9">
                  <c:v>8.8000000000000007</c:v>
                </c:pt>
                <c:pt idx="10">
                  <c:v>3.2</c:v>
                </c:pt>
                <c:pt idx="11">
                  <c:v>2.4</c:v>
                </c:pt>
                <c:pt idx="12">
                  <c:v>38.799999999999997</c:v>
                </c:pt>
                <c:pt idx="13">
                  <c:v>3.1999999999999997</c:v>
                </c:pt>
                <c:pt idx="14">
                  <c:v>67.2</c:v>
                </c:pt>
                <c:pt idx="15">
                  <c:v>2.1</c:v>
                </c:pt>
                <c:pt idx="16">
                  <c:v>1.9</c:v>
                </c:pt>
                <c:pt idx="17">
                  <c:v>2</c:v>
                </c:pt>
                <c:pt idx="18">
                  <c:v>2.8</c:v>
                </c:pt>
                <c:pt idx="19">
                  <c:v>0.8</c:v>
                </c:pt>
                <c:pt idx="20">
                  <c:v>3.7</c:v>
                </c:pt>
                <c:pt idx="21">
                  <c:v>4.0999999999999996</c:v>
                </c:pt>
                <c:pt idx="22">
                  <c:v>4.9000000000000004</c:v>
                </c:pt>
              </c:numCache>
            </c:numRef>
          </c:val>
          <c:smooth val="0"/>
          <c:extLst>
            <c:ext xmlns:c16="http://schemas.microsoft.com/office/drawing/2014/chart" uri="{C3380CC4-5D6E-409C-BE32-E72D297353CC}">
              <c16:uniqueId val="{00000000-B900-417F-82E2-DD1C73DE8DF1}"/>
            </c:ext>
          </c:extLst>
        </c:ser>
        <c:dLbls>
          <c:showLegendKey val="0"/>
          <c:showVal val="0"/>
          <c:showCatName val="0"/>
          <c:showSerName val="0"/>
          <c:showPercent val="0"/>
          <c:showBubbleSize val="0"/>
        </c:dLbls>
        <c:smooth val="0"/>
        <c:axId val="342833264"/>
        <c:axId val="342833744"/>
      </c:lineChart>
      <c:catAx>
        <c:axId val="34283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33744"/>
        <c:crosses val="autoZero"/>
        <c:auto val="1"/>
        <c:lblAlgn val="ctr"/>
        <c:lblOffset val="100"/>
        <c:noMultiLvlLbl val="0"/>
      </c:catAx>
      <c:valAx>
        <c:axId val="34283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3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).xlsx]Sheet9!PivotTable13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Sheet9!$J$4</c:f>
              <c:strCache>
                <c:ptCount val="1"/>
                <c:pt idx="0">
                  <c:v>Total</c:v>
                </c:pt>
              </c:strCache>
            </c:strRef>
          </c:tx>
          <c:spPr>
            <a:solidFill>
              <a:schemeClr val="accent1"/>
            </a:solidFill>
            <a:ln>
              <a:noFill/>
            </a:ln>
            <a:effectLst/>
          </c:spPr>
          <c:invertIfNegative val="0"/>
          <c:cat>
            <c:strRef>
              <c:f>Sheet9!$I$5:$I$45</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Formula1</c:v>
                </c:pt>
              </c:strCache>
            </c:strRef>
          </c:cat>
          <c:val>
            <c:numRef>
              <c:f>Sheet9!$J$5:$J$45</c:f>
              <c:numCache>
                <c:formatCode>General</c:formatCode>
                <c:ptCount val="40"/>
                <c:pt idx="0">
                  <c:v>78.900000000000006</c:v>
                </c:pt>
                <c:pt idx="1">
                  <c:v>45.1</c:v>
                </c:pt>
                <c:pt idx="2">
                  <c:v>87.7</c:v>
                </c:pt>
                <c:pt idx="3">
                  <c:v>106.7</c:v>
                </c:pt>
                <c:pt idx="4">
                  <c:v>37.799999999999997</c:v>
                </c:pt>
                <c:pt idx="5">
                  <c:v>77.099999999999994</c:v>
                </c:pt>
                <c:pt idx="6">
                  <c:v>56.7</c:v>
                </c:pt>
                <c:pt idx="7">
                  <c:v>29.8</c:v>
                </c:pt>
                <c:pt idx="8">
                  <c:v>89.7</c:v>
                </c:pt>
                <c:pt idx="9">
                  <c:v>111.8</c:v>
                </c:pt>
                <c:pt idx="10">
                  <c:v>66.3</c:v>
                </c:pt>
                <c:pt idx="11">
                  <c:v>0.1</c:v>
                </c:pt>
                <c:pt idx="12">
                  <c:v>84.2</c:v>
                </c:pt>
                <c:pt idx="13">
                  <c:v>39.799999999999997</c:v>
                </c:pt>
                <c:pt idx="14">
                  <c:v>60.9</c:v>
                </c:pt>
                <c:pt idx="15">
                  <c:v>144.4</c:v>
                </c:pt>
                <c:pt idx="16">
                  <c:v>263.10000000000002</c:v>
                </c:pt>
                <c:pt idx="17">
                  <c:v>70.099999999999994</c:v>
                </c:pt>
                <c:pt idx="18">
                  <c:v>54.7</c:v>
                </c:pt>
                <c:pt idx="19">
                  <c:v>52.4</c:v>
                </c:pt>
                <c:pt idx="20">
                  <c:v>37.1</c:v>
                </c:pt>
                <c:pt idx="21">
                  <c:v>45.7</c:v>
                </c:pt>
                <c:pt idx="22">
                  <c:v>34.200000000000003</c:v>
                </c:pt>
                <c:pt idx="23">
                  <c:v>63.5</c:v>
                </c:pt>
                <c:pt idx="24">
                  <c:v>21.4</c:v>
                </c:pt>
                <c:pt idx="25">
                  <c:v>26.7</c:v>
                </c:pt>
                <c:pt idx="26">
                  <c:v>130.1</c:v>
                </c:pt>
                <c:pt idx="27">
                  <c:v>71.099999999999994</c:v>
                </c:pt>
                <c:pt idx="28">
                  <c:v>54.6</c:v>
                </c:pt>
                <c:pt idx="29">
                  <c:v>107.7</c:v>
                </c:pt>
                <c:pt idx="30">
                  <c:v>35.1</c:v>
                </c:pt>
                <c:pt idx="31">
                  <c:v>41</c:v>
                </c:pt>
                <c:pt idx="32">
                  <c:v>28.7</c:v>
                </c:pt>
                <c:pt idx="33">
                  <c:v>61.4</c:v>
                </c:pt>
                <c:pt idx="34">
                  <c:v>32.1</c:v>
                </c:pt>
                <c:pt idx="35">
                  <c:v>34.5</c:v>
                </c:pt>
                <c:pt idx="36">
                  <c:v>101.2</c:v>
                </c:pt>
                <c:pt idx="37">
                  <c:v>126.4</c:v>
                </c:pt>
                <c:pt idx="38">
                  <c:v>43.1</c:v>
                </c:pt>
              </c:numCache>
            </c:numRef>
          </c:val>
          <c:extLst>
            <c:ext xmlns:c16="http://schemas.microsoft.com/office/drawing/2014/chart" uri="{C3380CC4-5D6E-409C-BE32-E72D297353CC}">
              <c16:uniqueId val="{00000000-BB5A-494B-8776-C584357BA84D}"/>
            </c:ext>
          </c:extLst>
        </c:ser>
        <c:dLbls>
          <c:showLegendKey val="0"/>
          <c:showVal val="0"/>
          <c:showCatName val="0"/>
          <c:showSerName val="0"/>
          <c:showPercent val="0"/>
          <c:showBubbleSize val="0"/>
        </c:dLbls>
        <c:gapWidth val="182"/>
        <c:axId val="451582864"/>
        <c:axId val="451570384"/>
      </c:barChart>
      <c:catAx>
        <c:axId val="45158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70384"/>
        <c:crosses val="autoZero"/>
        <c:auto val="1"/>
        <c:lblAlgn val="ctr"/>
        <c:lblOffset val="100"/>
        <c:noMultiLvlLbl val="0"/>
      </c:catAx>
      <c:valAx>
        <c:axId val="451570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8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).xlsx]Sheet10!PivotTable19</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Sheet10!$F$4:$F$6</c:f>
              <c:strCache>
                <c:ptCount val="2"/>
                <c:pt idx="0">
                  <c:v>15-08-2024</c:v>
                </c:pt>
                <c:pt idx="1">
                  <c:v>(blank)</c:v>
                </c:pt>
              </c:strCache>
            </c:strRef>
          </c:cat>
          <c:val>
            <c:numRef>
              <c:f>Sheet10!$G$4:$G$6</c:f>
              <c:numCache>
                <c:formatCode>General</c:formatCode>
                <c:ptCount val="2"/>
                <c:pt idx="0">
                  <c:v>642.89999999999964</c:v>
                </c:pt>
              </c:numCache>
            </c:numRef>
          </c:val>
          <c:extLst>
            <c:ext xmlns:c16="http://schemas.microsoft.com/office/drawing/2014/chart" uri="{C3380CC4-5D6E-409C-BE32-E72D297353CC}">
              <c16:uniqueId val="{00000000-E06C-473A-9843-30C9235D8038}"/>
            </c:ext>
          </c:extLst>
        </c:ser>
        <c:dLbls>
          <c:dLblPos val="inEnd"/>
          <c:showLegendKey val="0"/>
          <c:showVal val="1"/>
          <c:showCatName val="0"/>
          <c:showSerName val="0"/>
          <c:showPercent val="0"/>
          <c:showBubbleSize val="0"/>
        </c:dLbls>
        <c:gapWidth val="65"/>
        <c:axId val="2007795632"/>
        <c:axId val="2007797072"/>
      </c:barChart>
      <c:catAx>
        <c:axId val="2007795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7797072"/>
        <c:crosses val="autoZero"/>
        <c:auto val="1"/>
        <c:lblAlgn val="ctr"/>
        <c:lblOffset val="100"/>
        <c:noMultiLvlLbl val="0"/>
      </c:catAx>
      <c:valAx>
        <c:axId val="2007797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077956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).xlsx]Sheet11!PivotTable23</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Sheet11!$J$6</c:f>
              <c:strCache>
                <c:ptCount val="1"/>
                <c:pt idx="0">
                  <c:v>Total</c:v>
                </c:pt>
              </c:strCache>
            </c:strRef>
          </c:tx>
          <c:spPr>
            <a:solidFill>
              <a:schemeClr val="accent1">
                <a:alpha val="85000"/>
              </a:schemeClr>
            </a:solidFill>
            <a:ln>
              <a:noFill/>
            </a:ln>
            <a:effectLst>
              <a:innerShdw dist="12700" dir="16200000">
                <a:schemeClr val="lt1"/>
              </a:innerShdw>
            </a:effectLst>
            <a:sp3d/>
          </c:spPr>
          <c:cat>
            <c:strRef>
              <c:f>Sheet11!$I$7:$I$47</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Sheet11!$J$7:$J$47</c:f>
              <c:numCache>
                <c:formatCode>General</c:formatCode>
                <c:ptCount val="4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0-EA1D-43D4-9FE8-B131DD6120DA}"/>
            </c:ext>
          </c:extLst>
        </c:ser>
        <c:dLbls>
          <c:showLegendKey val="0"/>
          <c:showVal val="0"/>
          <c:showCatName val="0"/>
          <c:showSerName val="0"/>
          <c:showPercent val="0"/>
          <c:showBubbleSize val="0"/>
        </c:dLbls>
        <c:axId val="2055726896"/>
        <c:axId val="2055724976"/>
        <c:axId val="0"/>
      </c:area3DChart>
      <c:catAx>
        <c:axId val="20557268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5724976"/>
        <c:crosses val="autoZero"/>
        <c:auto val="1"/>
        <c:lblAlgn val="ctr"/>
        <c:lblOffset val="100"/>
        <c:noMultiLvlLbl val="0"/>
      </c:catAx>
      <c:valAx>
        <c:axId val="2055724976"/>
        <c:scaling>
          <c:orientation val="minMax"/>
        </c:scaling>
        <c:delete val="0"/>
        <c:axPos val="l"/>
        <c:majorGridlines>
          <c:spPr>
            <a:ln w="6350"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55726896"/>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).xlsx]Sheet10!PivotTable18</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Sum of Import_Growth_Percent</c:v>
                </c:pt>
              </c:strCache>
            </c:strRef>
          </c:tx>
          <c:spPr>
            <a:solidFill>
              <a:schemeClr val="accent1">
                <a:alpha val="85000"/>
              </a:schemeClr>
            </a:solidFill>
            <a:ln w="9525" cap="flat" cmpd="sng" algn="ctr">
              <a:solidFill>
                <a:schemeClr val="lt1">
                  <a:alpha val="50000"/>
                </a:schemeClr>
              </a:solidFill>
              <a:round/>
            </a:ln>
            <a:effectLst/>
          </c:spPr>
          <c:invertIfNegative val="0"/>
          <c:cat>
            <c:strRef>
              <c:f>Sheet10!$A$4:$A$44</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Sheet10!$B$4:$B$44</c:f>
              <c:numCache>
                <c:formatCode>General</c:formatCode>
                <c:ptCount val="40"/>
                <c:pt idx="0">
                  <c:v>15.6</c:v>
                </c:pt>
                <c:pt idx="1">
                  <c:v>5.4</c:v>
                </c:pt>
                <c:pt idx="2">
                  <c:v>6.9</c:v>
                </c:pt>
                <c:pt idx="3">
                  <c:v>3.8</c:v>
                </c:pt>
                <c:pt idx="4">
                  <c:v>5.2</c:v>
                </c:pt>
                <c:pt idx="5">
                  <c:v>6.1</c:v>
                </c:pt>
                <c:pt idx="6">
                  <c:v>7.1</c:v>
                </c:pt>
                <c:pt idx="7">
                  <c:v>1.8</c:v>
                </c:pt>
                <c:pt idx="8">
                  <c:v>23.4</c:v>
                </c:pt>
                <c:pt idx="9">
                  <c:v>2.1</c:v>
                </c:pt>
                <c:pt idx="10">
                  <c:v>1.8</c:v>
                </c:pt>
                <c:pt idx="11">
                  <c:v>5.9</c:v>
                </c:pt>
                <c:pt idx="12">
                  <c:v>10.9</c:v>
                </c:pt>
                <c:pt idx="13">
                  <c:v>7.3</c:v>
                </c:pt>
                <c:pt idx="14">
                  <c:v>4.2</c:v>
                </c:pt>
                <c:pt idx="15">
                  <c:v>2.9</c:v>
                </c:pt>
                <c:pt idx="16">
                  <c:v>4.7</c:v>
                </c:pt>
                <c:pt idx="17">
                  <c:v>5.9</c:v>
                </c:pt>
                <c:pt idx="18">
                  <c:v>8.1999999999999993</c:v>
                </c:pt>
                <c:pt idx="19">
                  <c:v>2.4</c:v>
                </c:pt>
                <c:pt idx="20">
                  <c:v>34.5</c:v>
                </c:pt>
                <c:pt idx="21">
                  <c:v>6.7</c:v>
                </c:pt>
                <c:pt idx="22">
                  <c:v>8.1999999999999993</c:v>
                </c:pt>
                <c:pt idx="23">
                  <c:v>7.4</c:v>
                </c:pt>
                <c:pt idx="24">
                  <c:v>18.7</c:v>
                </c:pt>
                <c:pt idx="25">
                  <c:v>8.9</c:v>
                </c:pt>
                <c:pt idx="26">
                  <c:v>11.7</c:v>
                </c:pt>
                <c:pt idx="27">
                  <c:v>1.8</c:v>
                </c:pt>
                <c:pt idx="28">
                  <c:v>7.8</c:v>
                </c:pt>
                <c:pt idx="29">
                  <c:v>3.7</c:v>
                </c:pt>
                <c:pt idx="30">
                  <c:v>2.9</c:v>
                </c:pt>
                <c:pt idx="31">
                  <c:v>2.1</c:v>
                </c:pt>
                <c:pt idx="32">
                  <c:v>13.8</c:v>
                </c:pt>
                <c:pt idx="33">
                  <c:v>3.8</c:v>
                </c:pt>
                <c:pt idx="34">
                  <c:v>8.9</c:v>
                </c:pt>
                <c:pt idx="35">
                  <c:v>18.899999999999999</c:v>
                </c:pt>
                <c:pt idx="36">
                  <c:v>1.2</c:v>
                </c:pt>
                <c:pt idx="37">
                  <c:v>2.8</c:v>
                </c:pt>
                <c:pt idx="38">
                  <c:v>14.2</c:v>
                </c:pt>
              </c:numCache>
            </c:numRef>
          </c:val>
          <c:extLst>
            <c:ext xmlns:c16="http://schemas.microsoft.com/office/drawing/2014/chart" uri="{C3380CC4-5D6E-409C-BE32-E72D297353CC}">
              <c16:uniqueId val="{00000000-2C69-46F4-8A37-35210A12E327}"/>
            </c:ext>
          </c:extLst>
        </c:ser>
        <c:ser>
          <c:idx val="1"/>
          <c:order val="1"/>
          <c:tx>
            <c:strRef>
              <c:f>Sheet10!$C$3</c:f>
              <c:strCache>
                <c:ptCount val="1"/>
                <c:pt idx="0">
                  <c:v>Sum of Export_Growth_Percent</c:v>
                </c:pt>
              </c:strCache>
            </c:strRef>
          </c:tx>
          <c:spPr>
            <a:solidFill>
              <a:schemeClr val="accent2">
                <a:alpha val="85000"/>
              </a:schemeClr>
            </a:solidFill>
            <a:ln w="9525" cap="flat" cmpd="sng" algn="ctr">
              <a:solidFill>
                <a:schemeClr val="lt1">
                  <a:alpha val="50000"/>
                </a:schemeClr>
              </a:solidFill>
              <a:round/>
            </a:ln>
            <a:effectLst/>
          </c:spPr>
          <c:invertIfNegative val="0"/>
          <c:cat>
            <c:strRef>
              <c:f>Sheet10!$A$4:$A$44</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Sheet10!$C$4:$C$44</c:f>
              <c:numCache>
                <c:formatCode>General</c:formatCode>
                <c:ptCount val="40"/>
                <c:pt idx="0">
                  <c:v>-12.3</c:v>
                </c:pt>
                <c:pt idx="1">
                  <c:v>6.2</c:v>
                </c:pt>
                <c:pt idx="2">
                  <c:v>8.6999999999999993</c:v>
                </c:pt>
                <c:pt idx="3">
                  <c:v>4.0999999999999996</c:v>
                </c:pt>
                <c:pt idx="4">
                  <c:v>6.7</c:v>
                </c:pt>
                <c:pt idx="5">
                  <c:v>8.9</c:v>
                </c:pt>
                <c:pt idx="6">
                  <c:v>8.9</c:v>
                </c:pt>
                <c:pt idx="7">
                  <c:v>2.1</c:v>
                </c:pt>
                <c:pt idx="8">
                  <c:v>12.3</c:v>
                </c:pt>
                <c:pt idx="9">
                  <c:v>1.8</c:v>
                </c:pt>
                <c:pt idx="10">
                  <c:v>2.1</c:v>
                </c:pt>
                <c:pt idx="11">
                  <c:v>6.7</c:v>
                </c:pt>
                <c:pt idx="12">
                  <c:v>13.2</c:v>
                </c:pt>
                <c:pt idx="13">
                  <c:v>8.9</c:v>
                </c:pt>
                <c:pt idx="14">
                  <c:v>5.6</c:v>
                </c:pt>
                <c:pt idx="15">
                  <c:v>3.2</c:v>
                </c:pt>
                <c:pt idx="16">
                  <c:v>5.0999999999999996</c:v>
                </c:pt>
                <c:pt idx="17">
                  <c:v>6.7</c:v>
                </c:pt>
                <c:pt idx="18">
                  <c:v>7.9</c:v>
                </c:pt>
                <c:pt idx="19">
                  <c:v>2.8</c:v>
                </c:pt>
                <c:pt idx="20">
                  <c:v>23.4</c:v>
                </c:pt>
                <c:pt idx="21">
                  <c:v>8.9</c:v>
                </c:pt>
                <c:pt idx="22">
                  <c:v>9.8000000000000007</c:v>
                </c:pt>
                <c:pt idx="23">
                  <c:v>8.1</c:v>
                </c:pt>
                <c:pt idx="24">
                  <c:v>15.2</c:v>
                </c:pt>
                <c:pt idx="25">
                  <c:v>12.3</c:v>
                </c:pt>
                <c:pt idx="26">
                  <c:v>12.4</c:v>
                </c:pt>
                <c:pt idx="27">
                  <c:v>2.1</c:v>
                </c:pt>
                <c:pt idx="28">
                  <c:v>9.1</c:v>
                </c:pt>
                <c:pt idx="29">
                  <c:v>4.0999999999999996</c:v>
                </c:pt>
                <c:pt idx="30">
                  <c:v>3.4</c:v>
                </c:pt>
                <c:pt idx="31">
                  <c:v>1.9</c:v>
                </c:pt>
                <c:pt idx="32">
                  <c:v>15.2</c:v>
                </c:pt>
                <c:pt idx="33">
                  <c:v>4.0999999999999996</c:v>
                </c:pt>
                <c:pt idx="34">
                  <c:v>3.4</c:v>
                </c:pt>
                <c:pt idx="35">
                  <c:v>23.4</c:v>
                </c:pt>
                <c:pt idx="36">
                  <c:v>0.9</c:v>
                </c:pt>
                <c:pt idx="37">
                  <c:v>3.2</c:v>
                </c:pt>
                <c:pt idx="38">
                  <c:v>12.8</c:v>
                </c:pt>
              </c:numCache>
            </c:numRef>
          </c:val>
          <c:extLst>
            <c:ext xmlns:c16="http://schemas.microsoft.com/office/drawing/2014/chart" uri="{C3380CC4-5D6E-409C-BE32-E72D297353CC}">
              <c16:uniqueId val="{00000001-2C69-46F4-8A37-35210A12E327}"/>
            </c:ext>
          </c:extLst>
        </c:ser>
        <c:dLbls>
          <c:showLegendKey val="0"/>
          <c:showVal val="0"/>
          <c:showCatName val="0"/>
          <c:showSerName val="0"/>
          <c:showPercent val="0"/>
          <c:showBubbleSize val="0"/>
        </c:dLbls>
        <c:gapWidth val="65"/>
        <c:axId val="2007780272"/>
        <c:axId val="2007783152"/>
      </c:barChart>
      <c:catAx>
        <c:axId val="200778027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7783152"/>
        <c:crosses val="autoZero"/>
        <c:auto val="1"/>
        <c:lblAlgn val="ctr"/>
        <c:lblOffset val="100"/>
        <c:noMultiLvlLbl val="0"/>
      </c:catAx>
      <c:valAx>
        <c:axId val="2007783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77802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).xlsx]Sheet9!PivotTable10</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59194631019775E-2"/>
          <c:y val="0.28115010270075474"/>
          <c:w val="0.78254225515165543"/>
          <c:h val="0.50071363997928864"/>
        </c:manualLayout>
      </c:layout>
      <c:lineChart>
        <c:grouping val="standard"/>
        <c:varyColors val="0"/>
        <c:ser>
          <c:idx val="0"/>
          <c:order val="0"/>
          <c:tx>
            <c:strRef>
              <c:f>Sheet9!$B$3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Sheet9!$A$4:$A$27</c:f>
              <c:strCache>
                <c:ptCount val="23"/>
                <c:pt idx="0">
                  <c:v>-1.9</c:v>
                </c:pt>
                <c:pt idx="1">
                  <c:v>0.7</c:v>
                </c:pt>
                <c:pt idx="2">
                  <c:v>1.1</c:v>
                </c:pt>
                <c:pt idx="3">
                  <c:v>1.2</c:v>
                </c:pt>
                <c:pt idx="4">
                  <c:v>1.3</c:v>
                </c:pt>
                <c:pt idx="5">
                  <c:v>1.7</c:v>
                </c:pt>
                <c:pt idx="6">
                  <c:v>1.8</c:v>
                </c:pt>
                <c:pt idx="7">
                  <c:v>2</c:v>
                </c:pt>
                <c:pt idx="8">
                  <c:v>2.1</c:v>
                </c:pt>
                <c:pt idx="9">
                  <c:v>2.4</c:v>
                </c:pt>
                <c:pt idx="10">
                  <c:v>2.5</c:v>
                </c:pt>
                <c:pt idx="11">
                  <c:v>2.6</c:v>
                </c:pt>
                <c:pt idx="12">
                  <c:v>2.8</c:v>
                </c:pt>
                <c:pt idx="13">
                  <c:v>2.9</c:v>
                </c:pt>
                <c:pt idx="14">
                  <c:v>3.1</c:v>
                </c:pt>
                <c:pt idx="15">
                  <c:v>3.8</c:v>
                </c:pt>
                <c:pt idx="16">
                  <c:v>3.9</c:v>
                </c:pt>
                <c:pt idx="17">
                  <c:v>4.2</c:v>
                </c:pt>
                <c:pt idx="18">
                  <c:v>5.1</c:v>
                </c:pt>
                <c:pt idx="19">
                  <c:v>5.2</c:v>
                </c:pt>
                <c:pt idx="20">
                  <c:v>5.8</c:v>
                </c:pt>
                <c:pt idx="21">
                  <c:v>6.4</c:v>
                </c:pt>
                <c:pt idx="22">
                  <c:v>6.8</c:v>
                </c:pt>
              </c:strCache>
            </c:strRef>
          </c:cat>
          <c:val>
            <c:numRef>
              <c:f>Sheet9!$B$4:$B$27</c:f>
              <c:numCache>
                <c:formatCode>General</c:formatCode>
                <c:ptCount val="23"/>
                <c:pt idx="0">
                  <c:v>7.4</c:v>
                </c:pt>
                <c:pt idx="1">
                  <c:v>1</c:v>
                </c:pt>
                <c:pt idx="2">
                  <c:v>1.6</c:v>
                </c:pt>
                <c:pt idx="3">
                  <c:v>8.6</c:v>
                </c:pt>
                <c:pt idx="4">
                  <c:v>2.2999999999999998</c:v>
                </c:pt>
                <c:pt idx="5">
                  <c:v>3.8</c:v>
                </c:pt>
                <c:pt idx="6">
                  <c:v>1.7</c:v>
                </c:pt>
                <c:pt idx="7">
                  <c:v>2.2999999999999998</c:v>
                </c:pt>
                <c:pt idx="8">
                  <c:v>7.6</c:v>
                </c:pt>
                <c:pt idx="9">
                  <c:v>8.8000000000000007</c:v>
                </c:pt>
                <c:pt idx="10">
                  <c:v>3.2</c:v>
                </c:pt>
                <c:pt idx="11">
                  <c:v>2.4</c:v>
                </c:pt>
                <c:pt idx="12">
                  <c:v>38.799999999999997</c:v>
                </c:pt>
                <c:pt idx="13">
                  <c:v>3.1999999999999997</c:v>
                </c:pt>
                <c:pt idx="14">
                  <c:v>67.2</c:v>
                </c:pt>
                <c:pt idx="15">
                  <c:v>2.1</c:v>
                </c:pt>
                <c:pt idx="16">
                  <c:v>1.9</c:v>
                </c:pt>
                <c:pt idx="17">
                  <c:v>2</c:v>
                </c:pt>
                <c:pt idx="18">
                  <c:v>2.8</c:v>
                </c:pt>
                <c:pt idx="19">
                  <c:v>0.8</c:v>
                </c:pt>
                <c:pt idx="20">
                  <c:v>3.7</c:v>
                </c:pt>
                <c:pt idx="21">
                  <c:v>4.0999999999999996</c:v>
                </c:pt>
                <c:pt idx="22">
                  <c:v>4.9000000000000004</c:v>
                </c:pt>
              </c:numCache>
            </c:numRef>
          </c:val>
          <c:smooth val="0"/>
          <c:extLst>
            <c:ext xmlns:c16="http://schemas.microsoft.com/office/drawing/2014/chart" uri="{C3380CC4-5D6E-409C-BE32-E72D297353CC}">
              <c16:uniqueId val="{00000000-93BC-41D8-8AAB-591DFCC698C4}"/>
            </c:ext>
          </c:extLst>
        </c:ser>
        <c:dLbls>
          <c:dLblPos val="ctr"/>
          <c:showLegendKey val="0"/>
          <c:showVal val="1"/>
          <c:showCatName val="0"/>
          <c:showSerName val="0"/>
          <c:showPercent val="0"/>
          <c:showBubbleSize val="0"/>
        </c:dLbls>
        <c:marker val="1"/>
        <c:smooth val="0"/>
        <c:axId val="342833264"/>
        <c:axId val="342833744"/>
      </c:lineChart>
      <c:catAx>
        <c:axId val="342833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2833744"/>
        <c:crosses val="autoZero"/>
        <c:auto val="1"/>
        <c:lblAlgn val="ctr"/>
        <c:lblOffset val="100"/>
        <c:noMultiLvlLbl val="0"/>
      </c:catAx>
      <c:valAx>
        <c:axId val="3428337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28332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).xlsx]Sheet9!PivotTable12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Sheet9!$F$4</c:f>
              <c:strCache>
                <c:ptCount val="1"/>
                <c:pt idx="0">
                  <c:v>Sum of Unemployment_Rate_Percent</c:v>
                </c:pt>
              </c:strCache>
            </c:strRef>
          </c:tx>
          <c:spPr>
            <a:solidFill>
              <a:schemeClr val="accent1">
                <a:alpha val="85000"/>
              </a:schemeClr>
            </a:solidFill>
            <a:ln w="9525" cap="flat" cmpd="sng" algn="ctr">
              <a:solidFill>
                <a:schemeClr val="lt1">
                  <a:alpha val="50000"/>
                </a:schemeClr>
              </a:solidFill>
              <a:round/>
            </a:ln>
            <a:effectLst/>
          </c:spPr>
          <c:invertIfNegative val="0"/>
          <c:cat>
            <c:strRef>
              <c:f>Sheet9!$E$5:$E$45</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Formula1</c:v>
                </c:pt>
              </c:strCache>
            </c:strRef>
          </c:cat>
          <c:val>
            <c:numRef>
              <c:f>Sheet9!$F$5:$F$45</c:f>
              <c:numCache>
                <c:formatCode>General</c:formatCode>
                <c:ptCount val="40"/>
                <c:pt idx="0">
                  <c:v>6.2</c:v>
                </c:pt>
                <c:pt idx="1">
                  <c:v>4.0999999999999996</c:v>
                </c:pt>
                <c:pt idx="2">
                  <c:v>7.8</c:v>
                </c:pt>
                <c:pt idx="3">
                  <c:v>6.1</c:v>
                </c:pt>
                <c:pt idx="4">
                  <c:v>8.8000000000000007</c:v>
                </c:pt>
                <c:pt idx="5">
                  <c:v>5.2</c:v>
                </c:pt>
                <c:pt idx="6">
                  <c:v>10.199999999999999</c:v>
                </c:pt>
                <c:pt idx="7">
                  <c:v>5.0999999999999996</c:v>
                </c:pt>
                <c:pt idx="8">
                  <c:v>7.2</c:v>
                </c:pt>
                <c:pt idx="9">
                  <c:v>7.4</c:v>
                </c:pt>
                <c:pt idx="10">
                  <c:v>3.1</c:v>
                </c:pt>
                <c:pt idx="11">
                  <c:v>2.8</c:v>
                </c:pt>
                <c:pt idx="12">
                  <c:v>3.2</c:v>
                </c:pt>
                <c:pt idx="13">
                  <c:v>5.4</c:v>
                </c:pt>
                <c:pt idx="14">
                  <c:v>3.4</c:v>
                </c:pt>
                <c:pt idx="15">
                  <c:v>7.6</c:v>
                </c:pt>
                <c:pt idx="16">
                  <c:v>2.4</c:v>
                </c:pt>
                <c:pt idx="17">
                  <c:v>3.4</c:v>
                </c:pt>
                <c:pt idx="18">
                  <c:v>2.8</c:v>
                </c:pt>
                <c:pt idx="19">
                  <c:v>3.6</c:v>
                </c:pt>
                <c:pt idx="20">
                  <c:v>5.0999999999999996</c:v>
                </c:pt>
                <c:pt idx="21">
                  <c:v>3.4</c:v>
                </c:pt>
                <c:pt idx="22">
                  <c:v>6.4</c:v>
                </c:pt>
                <c:pt idx="23">
                  <c:v>5.9</c:v>
                </c:pt>
                <c:pt idx="24">
                  <c:v>3.4</c:v>
                </c:pt>
                <c:pt idx="25">
                  <c:v>5.8</c:v>
                </c:pt>
                <c:pt idx="26">
                  <c:v>2.1</c:v>
                </c:pt>
                <c:pt idx="27">
                  <c:v>28.7</c:v>
                </c:pt>
                <c:pt idx="28">
                  <c:v>2.9</c:v>
                </c:pt>
                <c:pt idx="29">
                  <c:v>11.5</c:v>
                </c:pt>
                <c:pt idx="30">
                  <c:v>7.8</c:v>
                </c:pt>
                <c:pt idx="31">
                  <c:v>2.4</c:v>
                </c:pt>
                <c:pt idx="32">
                  <c:v>3.7</c:v>
                </c:pt>
                <c:pt idx="33">
                  <c:v>1.2</c:v>
                </c:pt>
                <c:pt idx="34">
                  <c:v>10.5</c:v>
                </c:pt>
                <c:pt idx="35">
                  <c:v>2.8</c:v>
                </c:pt>
                <c:pt idx="36">
                  <c:v>4.2</c:v>
                </c:pt>
                <c:pt idx="37">
                  <c:v>3.7</c:v>
                </c:pt>
                <c:pt idx="38">
                  <c:v>12.3</c:v>
                </c:pt>
              </c:numCache>
            </c:numRef>
          </c:val>
          <c:extLst>
            <c:ext xmlns:c16="http://schemas.microsoft.com/office/drawing/2014/chart" uri="{C3380CC4-5D6E-409C-BE32-E72D297353CC}">
              <c16:uniqueId val="{00000000-10EA-448D-9C2A-06977AC4490C}"/>
            </c:ext>
          </c:extLst>
        </c:ser>
        <c:ser>
          <c:idx val="1"/>
          <c:order val="1"/>
          <c:tx>
            <c:strRef>
              <c:f>Sheet9!$G$4</c:f>
              <c:strCache>
                <c:ptCount val="1"/>
                <c:pt idx="0">
                  <c:v>Sum of Interest_Rate_Percent</c:v>
                </c:pt>
              </c:strCache>
            </c:strRef>
          </c:tx>
          <c:spPr>
            <a:solidFill>
              <a:schemeClr val="accent2">
                <a:alpha val="85000"/>
              </a:schemeClr>
            </a:solidFill>
            <a:ln w="9525" cap="flat" cmpd="sng" algn="ctr">
              <a:solidFill>
                <a:schemeClr val="lt1">
                  <a:alpha val="50000"/>
                </a:schemeClr>
              </a:solidFill>
              <a:round/>
            </a:ln>
            <a:effectLst/>
          </c:spPr>
          <c:invertIfNegative val="0"/>
          <c:cat>
            <c:strRef>
              <c:f>Sheet9!$E$5:$E$45</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Formula1</c:v>
                </c:pt>
              </c:strCache>
            </c:strRef>
          </c:cat>
          <c:val>
            <c:numRef>
              <c:f>Sheet9!$G$5:$G$45</c:f>
              <c:numCache>
                <c:formatCode>General</c:formatCode>
                <c:ptCount val="40"/>
                <c:pt idx="0">
                  <c:v>133</c:v>
                </c:pt>
                <c:pt idx="1">
                  <c:v>4.3499999999999996</c:v>
                </c:pt>
                <c:pt idx="2">
                  <c:v>10.75</c:v>
                </c:pt>
                <c:pt idx="3">
                  <c:v>4.75</c:v>
                </c:pt>
                <c:pt idx="4">
                  <c:v>5.75</c:v>
                </c:pt>
                <c:pt idx="5">
                  <c:v>3.1</c:v>
                </c:pt>
                <c:pt idx="6">
                  <c:v>10.75</c:v>
                </c:pt>
                <c:pt idx="7">
                  <c:v>3.6</c:v>
                </c:pt>
                <c:pt idx="8">
                  <c:v>27.25</c:v>
                </c:pt>
                <c:pt idx="9">
                  <c:v>4.5</c:v>
                </c:pt>
                <c:pt idx="10">
                  <c:v>4.5</c:v>
                </c:pt>
                <c:pt idx="11">
                  <c:v>5.75</c:v>
                </c:pt>
                <c:pt idx="12">
                  <c:v>6.5</c:v>
                </c:pt>
                <c:pt idx="13">
                  <c:v>6</c:v>
                </c:pt>
                <c:pt idx="14">
                  <c:v>4.75</c:v>
                </c:pt>
                <c:pt idx="15">
                  <c:v>4.5</c:v>
                </c:pt>
                <c:pt idx="16">
                  <c:v>-0.1</c:v>
                </c:pt>
                <c:pt idx="17">
                  <c:v>3</c:v>
                </c:pt>
                <c:pt idx="18">
                  <c:v>11</c:v>
                </c:pt>
                <c:pt idx="19">
                  <c:v>4.5</c:v>
                </c:pt>
                <c:pt idx="20">
                  <c:v>18.75</c:v>
                </c:pt>
                <c:pt idx="21">
                  <c:v>4.5</c:v>
                </c:pt>
                <c:pt idx="22">
                  <c:v>5.75</c:v>
                </c:pt>
                <c:pt idx="23">
                  <c:v>6.5</c:v>
                </c:pt>
                <c:pt idx="24">
                  <c:v>16</c:v>
                </c:pt>
                <c:pt idx="25">
                  <c:v>6</c:v>
                </c:pt>
                <c:pt idx="26">
                  <c:v>3.5</c:v>
                </c:pt>
                <c:pt idx="27">
                  <c:v>8.25</c:v>
                </c:pt>
                <c:pt idx="28">
                  <c:v>3.5</c:v>
                </c:pt>
                <c:pt idx="29">
                  <c:v>4.5</c:v>
                </c:pt>
                <c:pt idx="30">
                  <c:v>3.75</c:v>
                </c:pt>
                <c:pt idx="31">
                  <c:v>1.25</c:v>
                </c:pt>
                <c:pt idx="32">
                  <c:v>1.5</c:v>
                </c:pt>
                <c:pt idx="33">
                  <c:v>2.5</c:v>
                </c:pt>
                <c:pt idx="34">
                  <c:v>50</c:v>
                </c:pt>
                <c:pt idx="35">
                  <c:v>5.4</c:v>
                </c:pt>
                <c:pt idx="36">
                  <c:v>5.25</c:v>
                </c:pt>
                <c:pt idx="37">
                  <c:v>5.5</c:v>
                </c:pt>
                <c:pt idx="38">
                  <c:v>4.5</c:v>
                </c:pt>
              </c:numCache>
            </c:numRef>
          </c:val>
          <c:extLst>
            <c:ext xmlns:c16="http://schemas.microsoft.com/office/drawing/2014/chart" uri="{C3380CC4-5D6E-409C-BE32-E72D297353CC}">
              <c16:uniqueId val="{00000001-10EA-448D-9C2A-06977AC4490C}"/>
            </c:ext>
          </c:extLst>
        </c:ser>
        <c:dLbls>
          <c:showLegendKey val="0"/>
          <c:showVal val="0"/>
          <c:showCatName val="0"/>
          <c:showSerName val="0"/>
          <c:showPercent val="0"/>
          <c:showBubbleSize val="0"/>
        </c:dLbls>
        <c:gapWidth val="150"/>
        <c:overlap val="100"/>
        <c:axId val="326877136"/>
        <c:axId val="326868496"/>
      </c:barChart>
      <c:catAx>
        <c:axId val="326877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6868496"/>
        <c:crosses val="autoZero"/>
        <c:auto val="1"/>
        <c:lblAlgn val="ctr"/>
        <c:lblOffset val="100"/>
        <c:noMultiLvlLbl val="0"/>
      </c:catAx>
      <c:valAx>
        <c:axId val="326868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687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).xlsx]Sheet11!PivotTable21</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3"/>
          </a:solidFill>
          <a:ln>
            <a:noFill/>
          </a:ln>
          <a:effectLst>
            <a:outerShdw blurRad="254000" sx="102000" sy="102000" algn="ctr" rotWithShape="0">
              <a:prstClr val="black">
                <a:alpha val="20000"/>
              </a:prstClr>
            </a:outerShdw>
          </a:effectLst>
        </c:spPr>
      </c:pivotFmt>
      <c:pivotFmt>
        <c:idx val="21"/>
        <c:spPr>
          <a:solidFill>
            <a:schemeClr val="accent4"/>
          </a:solidFill>
          <a:ln>
            <a:noFill/>
          </a:ln>
          <a:effectLst>
            <a:outerShdw blurRad="254000" sx="102000" sy="102000" algn="ctr" rotWithShape="0">
              <a:prstClr val="black">
                <a:alpha val="20000"/>
              </a:prstClr>
            </a:outerShdw>
          </a:effectLst>
        </c:spPr>
      </c:pivotFmt>
      <c:pivotFmt>
        <c:idx val="22"/>
        <c:spPr>
          <a:solidFill>
            <a:schemeClr val="accent5"/>
          </a:solidFill>
          <a:ln>
            <a:noFill/>
          </a:ln>
          <a:effectLst>
            <a:outerShdw blurRad="254000" sx="102000" sy="102000" algn="ctr" rotWithShape="0">
              <a:prstClr val="black">
                <a:alpha val="20000"/>
              </a:prstClr>
            </a:outerShdw>
          </a:effectLst>
        </c:spPr>
      </c:pivotFmt>
      <c:pivotFmt>
        <c:idx val="23"/>
        <c:spPr>
          <a:solidFill>
            <a:schemeClr val="accent6"/>
          </a:solidFill>
          <a:ln>
            <a:noFill/>
          </a:ln>
          <a:effectLst>
            <a:outerShdw blurRad="254000" sx="102000" sy="102000" algn="ctr" rotWithShape="0">
              <a:prstClr val="black">
                <a:alpha val="20000"/>
              </a:prstClr>
            </a:outerShdw>
          </a:effectLst>
        </c:spPr>
      </c:pivotFmt>
      <c:pivotFmt>
        <c:idx val="24"/>
        <c:spPr>
          <a:solidFill>
            <a:schemeClr val="accent1">
              <a:lumMod val="60000"/>
            </a:schemeClr>
          </a:solidFill>
          <a:ln>
            <a:noFill/>
          </a:ln>
          <a:effectLst>
            <a:outerShdw blurRad="254000" sx="102000" sy="102000" algn="ctr" rotWithShape="0">
              <a:prstClr val="black">
                <a:alpha val="20000"/>
              </a:prstClr>
            </a:outerShdw>
          </a:effectLst>
        </c:spPr>
      </c:pivotFmt>
      <c:pivotFmt>
        <c:idx val="25"/>
        <c:spPr>
          <a:solidFill>
            <a:schemeClr val="accent2">
              <a:lumMod val="60000"/>
            </a:schemeClr>
          </a:solidFill>
          <a:ln>
            <a:noFill/>
          </a:ln>
          <a:effectLst>
            <a:outerShdw blurRad="254000" sx="102000" sy="102000" algn="ctr" rotWithShape="0">
              <a:prstClr val="black">
                <a:alpha val="20000"/>
              </a:prstClr>
            </a:outerShdw>
          </a:effectLst>
        </c:spPr>
      </c:pivotFmt>
      <c:pivotFmt>
        <c:idx val="26"/>
        <c:spPr>
          <a:solidFill>
            <a:schemeClr val="accent3">
              <a:lumMod val="60000"/>
            </a:schemeClr>
          </a:solidFill>
          <a:ln>
            <a:noFill/>
          </a:ln>
          <a:effectLst>
            <a:outerShdw blurRad="254000" sx="102000" sy="102000" algn="ctr" rotWithShape="0">
              <a:prstClr val="black">
                <a:alpha val="20000"/>
              </a:prstClr>
            </a:outerShdw>
          </a:effectLst>
        </c:spPr>
      </c:pivotFmt>
      <c:pivotFmt>
        <c:idx val="27"/>
        <c:spPr>
          <a:solidFill>
            <a:schemeClr val="accent4">
              <a:lumMod val="60000"/>
            </a:schemeClr>
          </a:solidFill>
          <a:ln>
            <a:noFill/>
          </a:ln>
          <a:effectLst>
            <a:outerShdw blurRad="254000" sx="102000" sy="102000" algn="ctr" rotWithShape="0">
              <a:prstClr val="black">
                <a:alpha val="20000"/>
              </a:prstClr>
            </a:outerShdw>
          </a:effectLst>
        </c:spPr>
      </c:pivotFmt>
      <c:pivotFmt>
        <c:idx val="28"/>
        <c:spPr>
          <a:solidFill>
            <a:schemeClr val="accent5">
              <a:lumMod val="60000"/>
            </a:schemeClr>
          </a:solidFill>
          <a:ln>
            <a:noFill/>
          </a:ln>
          <a:effectLst>
            <a:outerShdw blurRad="254000" sx="102000" sy="102000" algn="ctr" rotWithShape="0">
              <a:prstClr val="black">
                <a:alpha val="20000"/>
              </a:prstClr>
            </a:outerShdw>
          </a:effectLst>
        </c:spPr>
      </c:pivotFmt>
      <c:pivotFmt>
        <c:idx val="29"/>
        <c:spPr>
          <a:solidFill>
            <a:schemeClr val="accent6">
              <a:lumMod val="60000"/>
            </a:schemeClr>
          </a:solidFill>
          <a:ln>
            <a:noFill/>
          </a:ln>
          <a:effectLst>
            <a:outerShdw blurRad="254000" sx="102000" sy="102000" algn="ctr" rotWithShape="0">
              <a:prstClr val="black">
                <a:alpha val="20000"/>
              </a:prstClr>
            </a:outerShdw>
          </a:effectLst>
        </c:spPr>
      </c:pivotFmt>
      <c:pivotFmt>
        <c:idx val="30"/>
        <c:spPr>
          <a:solidFill>
            <a:schemeClr val="accent1">
              <a:lumMod val="80000"/>
              <a:lumOff val="20000"/>
            </a:schemeClr>
          </a:solidFill>
          <a:ln>
            <a:noFill/>
          </a:ln>
          <a:effectLst>
            <a:outerShdw blurRad="254000" sx="102000" sy="102000" algn="ctr" rotWithShape="0">
              <a:prstClr val="black">
                <a:alpha val="20000"/>
              </a:prstClr>
            </a:outerShdw>
          </a:effectLst>
        </c:spPr>
      </c:pivotFmt>
      <c:pivotFmt>
        <c:idx val="31"/>
        <c:spPr>
          <a:solidFill>
            <a:schemeClr val="accent2">
              <a:lumMod val="80000"/>
              <a:lumOff val="20000"/>
            </a:schemeClr>
          </a:solidFill>
          <a:ln>
            <a:noFill/>
          </a:ln>
          <a:effectLst>
            <a:outerShdw blurRad="254000" sx="102000" sy="102000" algn="ctr" rotWithShape="0">
              <a:prstClr val="black">
                <a:alpha val="20000"/>
              </a:prstClr>
            </a:outerShdw>
          </a:effectLst>
        </c:spPr>
      </c:pivotFmt>
      <c:pivotFmt>
        <c:idx val="32"/>
        <c:spPr>
          <a:solidFill>
            <a:schemeClr val="accent3">
              <a:lumMod val="80000"/>
              <a:lumOff val="20000"/>
            </a:schemeClr>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439252158697553"/>
          <c:y val="0.22618110236220473"/>
          <c:w val="0.40739876944729736"/>
          <c:h val="0.66533763531037915"/>
        </c:manualLayout>
      </c:layout>
      <c:doughnutChart>
        <c:varyColors val="1"/>
        <c:ser>
          <c:idx val="0"/>
          <c:order val="0"/>
          <c:tx>
            <c:strRef>
              <c:f>Sheet11!$B$3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AF-44B8-9DC2-EA5480C71A1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AF-44B8-9DC2-EA5480C71A1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3AF-44B8-9DC2-EA5480C71A1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3AF-44B8-9DC2-EA5480C71A1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3AF-44B8-9DC2-EA5480C71A1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3AF-44B8-9DC2-EA5480C71A1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3AF-44B8-9DC2-EA5480C71A12}"/>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3AF-44B8-9DC2-EA5480C71A12}"/>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3AF-44B8-9DC2-EA5480C71A12}"/>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3AF-44B8-9DC2-EA5480C71A12}"/>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3AF-44B8-9DC2-EA5480C71A12}"/>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3AF-44B8-9DC2-EA5480C71A12}"/>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3AF-44B8-9DC2-EA5480C71A12}"/>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3AF-44B8-9DC2-EA5480C71A12}"/>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23AF-44B8-9DC2-EA5480C71A1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Sheet11!$A$4:$A$19</c:f>
              <c:strCache>
                <c:ptCount val="15"/>
                <c:pt idx="0">
                  <c:v>A</c:v>
                </c:pt>
                <c:pt idx="1">
                  <c:v>A-</c:v>
                </c:pt>
                <c:pt idx="2">
                  <c:v>A+</c:v>
                </c:pt>
                <c:pt idx="3">
                  <c:v>AA</c:v>
                </c:pt>
                <c:pt idx="4">
                  <c:v>AA+</c:v>
                </c:pt>
                <c:pt idx="5">
                  <c:v>AAA</c:v>
                </c:pt>
                <c:pt idx="6">
                  <c:v>B-</c:v>
                </c:pt>
                <c:pt idx="7">
                  <c:v>B+</c:v>
                </c:pt>
                <c:pt idx="8">
                  <c:v>BB-</c:v>
                </c:pt>
                <c:pt idx="9">
                  <c:v>BB+</c:v>
                </c:pt>
                <c:pt idx="10">
                  <c:v>BBB</c:v>
                </c:pt>
                <c:pt idx="11">
                  <c:v>BBB-</c:v>
                </c:pt>
                <c:pt idx="12">
                  <c:v>BBB+</c:v>
                </c:pt>
                <c:pt idx="13">
                  <c:v>CCC+</c:v>
                </c:pt>
                <c:pt idx="14">
                  <c:v>(blank)</c:v>
                </c:pt>
              </c:strCache>
            </c:strRef>
          </c:cat>
          <c:val>
            <c:numRef>
              <c:f>Sheet11!$B$4:$B$19</c:f>
              <c:numCache>
                <c:formatCode>General</c:formatCode>
                <c:ptCount val="15"/>
                <c:pt idx="0">
                  <c:v>2</c:v>
                </c:pt>
                <c:pt idx="1">
                  <c:v>2</c:v>
                </c:pt>
                <c:pt idx="2">
                  <c:v>3</c:v>
                </c:pt>
                <c:pt idx="3">
                  <c:v>5</c:v>
                </c:pt>
                <c:pt idx="4">
                  <c:v>1</c:v>
                </c:pt>
                <c:pt idx="5">
                  <c:v>10</c:v>
                </c:pt>
                <c:pt idx="6">
                  <c:v>1</c:v>
                </c:pt>
                <c:pt idx="7">
                  <c:v>2</c:v>
                </c:pt>
                <c:pt idx="8">
                  <c:v>2</c:v>
                </c:pt>
                <c:pt idx="9">
                  <c:v>3</c:v>
                </c:pt>
                <c:pt idx="10">
                  <c:v>3</c:v>
                </c:pt>
                <c:pt idx="11">
                  <c:v>1</c:v>
                </c:pt>
                <c:pt idx="12">
                  <c:v>3</c:v>
                </c:pt>
                <c:pt idx="13">
                  <c:v>1</c:v>
                </c:pt>
              </c:numCache>
            </c:numRef>
          </c:val>
          <c:extLst>
            <c:ext xmlns:c16="http://schemas.microsoft.com/office/drawing/2014/chart" uri="{C3380CC4-5D6E-409C-BE32-E72D297353CC}">
              <c16:uniqueId val="{0000001E-23AF-44B8-9DC2-EA5480C71A1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).xlsx]Sheet10!PivotTable18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Sum of Import_Growth_Percent</c:v>
                </c:pt>
              </c:strCache>
            </c:strRef>
          </c:tx>
          <c:spPr>
            <a:solidFill>
              <a:schemeClr val="accent1"/>
            </a:solidFill>
            <a:ln>
              <a:noFill/>
            </a:ln>
            <a:effectLst/>
          </c:spPr>
          <c:invertIfNegative val="0"/>
          <c:cat>
            <c:strRef>
              <c:f>Sheet10!$A$4:$A$44</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Sheet10!$B$4:$B$44</c:f>
              <c:numCache>
                <c:formatCode>General</c:formatCode>
                <c:ptCount val="40"/>
                <c:pt idx="0">
                  <c:v>15.6</c:v>
                </c:pt>
                <c:pt idx="1">
                  <c:v>5.4</c:v>
                </c:pt>
                <c:pt idx="2">
                  <c:v>6.9</c:v>
                </c:pt>
                <c:pt idx="3">
                  <c:v>3.8</c:v>
                </c:pt>
                <c:pt idx="4">
                  <c:v>5.2</c:v>
                </c:pt>
                <c:pt idx="5">
                  <c:v>6.1</c:v>
                </c:pt>
                <c:pt idx="6">
                  <c:v>7.1</c:v>
                </c:pt>
                <c:pt idx="7">
                  <c:v>1.8</c:v>
                </c:pt>
                <c:pt idx="8">
                  <c:v>23.4</c:v>
                </c:pt>
                <c:pt idx="9">
                  <c:v>2.1</c:v>
                </c:pt>
                <c:pt idx="10">
                  <c:v>1.8</c:v>
                </c:pt>
                <c:pt idx="11">
                  <c:v>5.9</c:v>
                </c:pt>
                <c:pt idx="12">
                  <c:v>10.9</c:v>
                </c:pt>
                <c:pt idx="13">
                  <c:v>7.3</c:v>
                </c:pt>
                <c:pt idx="14">
                  <c:v>4.2</c:v>
                </c:pt>
                <c:pt idx="15">
                  <c:v>2.9</c:v>
                </c:pt>
                <c:pt idx="16">
                  <c:v>4.7</c:v>
                </c:pt>
                <c:pt idx="17">
                  <c:v>5.9</c:v>
                </c:pt>
                <c:pt idx="18">
                  <c:v>8.1999999999999993</c:v>
                </c:pt>
                <c:pt idx="19">
                  <c:v>2.4</c:v>
                </c:pt>
                <c:pt idx="20">
                  <c:v>34.5</c:v>
                </c:pt>
                <c:pt idx="21">
                  <c:v>6.7</c:v>
                </c:pt>
                <c:pt idx="22">
                  <c:v>8.1999999999999993</c:v>
                </c:pt>
                <c:pt idx="23">
                  <c:v>7.4</c:v>
                </c:pt>
                <c:pt idx="24">
                  <c:v>18.7</c:v>
                </c:pt>
                <c:pt idx="25">
                  <c:v>8.9</c:v>
                </c:pt>
                <c:pt idx="26">
                  <c:v>11.7</c:v>
                </c:pt>
                <c:pt idx="27">
                  <c:v>1.8</c:v>
                </c:pt>
                <c:pt idx="28">
                  <c:v>7.8</c:v>
                </c:pt>
                <c:pt idx="29">
                  <c:v>3.7</c:v>
                </c:pt>
                <c:pt idx="30">
                  <c:v>2.9</c:v>
                </c:pt>
                <c:pt idx="31">
                  <c:v>2.1</c:v>
                </c:pt>
                <c:pt idx="32">
                  <c:v>13.8</c:v>
                </c:pt>
                <c:pt idx="33">
                  <c:v>3.8</c:v>
                </c:pt>
                <c:pt idx="34">
                  <c:v>8.9</c:v>
                </c:pt>
                <c:pt idx="35">
                  <c:v>18.899999999999999</c:v>
                </c:pt>
                <c:pt idx="36">
                  <c:v>1.2</c:v>
                </c:pt>
                <c:pt idx="37">
                  <c:v>2.8</c:v>
                </c:pt>
                <c:pt idx="38">
                  <c:v>14.2</c:v>
                </c:pt>
              </c:numCache>
            </c:numRef>
          </c:val>
          <c:extLst>
            <c:ext xmlns:c16="http://schemas.microsoft.com/office/drawing/2014/chart" uri="{C3380CC4-5D6E-409C-BE32-E72D297353CC}">
              <c16:uniqueId val="{00000000-1855-4273-ABCD-96E23C14765D}"/>
            </c:ext>
          </c:extLst>
        </c:ser>
        <c:ser>
          <c:idx val="1"/>
          <c:order val="1"/>
          <c:tx>
            <c:strRef>
              <c:f>Sheet10!$C$3</c:f>
              <c:strCache>
                <c:ptCount val="1"/>
                <c:pt idx="0">
                  <c:v>Sum of Export_Growth_Percent</c:v>
                </c:pt>
              </c:strCache>
            </c:strRef>
          </c:tx>
          <c:spPr>
            <a:solidFill>
              <a:schemeClr val="accent2"/>
            </a:solidFill>
            <a:ln>
              <a:noFill/>
            </a:ln>
            <a:effectLst/>
          </c:spPr>
          <c:invertIfNegative val="0"/>
          <c:cat>
            <c:strRef>
              <c:f>Sheet10!$A$4:$A$44</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Sheet10!$C$4:$C$44</c:f>
              <c:numCache>
                <c:formatCode>General</c:formatCode>
                <c:ptCount val="40"/>
                <c:pt idx="0">
                  <c:v>-12.3</c:v>
                </c:pt>
                <c:pt idx="1">
                  <c:v>6.2</c:v>
                </c:pt>
                <c:pt idx="2">
                  <c:v>8.6999999999999993</c:v>
                </c:pt>
                <c:pt idx="3">
                  <c:v>4.0999999999999996</c:v>
                </c:pt>
                <c:pt idx="4">
                  <c:v>6.7</c:v>
                </c:pt>
                <c:pt idx="5">
                  <c:v>8.9</c:v>
                </c:pt>
                <c:pt idx="6">
                  <c:v>8.9</c:v>
                </c:pt>
                <c:pt idx="7">
                  <c:v>2.1</c:v>
                </c:pt>
                <c:pt idx="8">
                  <c:v>12.3</c:v>
                </c:pt>
                <c:pt idx="9">
                  <c:v>1.8</c:v>
                </c:pt>
                <c:pt idx="10">
                  <c:v>2.1</c:v>
                </c:pt>
                <c:pt idx="11">
                  <c:v>6.7</c:v>
                </c:pt>
                <c:pt idx="12">
                  <c:v>13.2</c:v>
                </c:pt>
                <c:pt idx="13">
                  <c:v>8.9</c:v>
                </c:pt>
                <c:pt idx="14">
                  <c:v>5.6</c:v>
                </c:pt>
                <c:pt idx="15">
                  <c:v>3.2</c:v>
                </c:pt>
                <c:pt idx="16">
                  <c:v>5.0999999999999996</c:v>
                </c:pt>
                <c:pt idx="17">
                  <c:v>6.7</c:v>
                </c:pt>
                <c:pt idx="18">
                  <c:v>7.9</c:v>
                </c:pt>
                <c:pt idx="19">
                  <c:v>2.8</c:v>
                </c:pt>
                <c:pt idx="20">
                  <c:v>23.4</c:v>
                </c:pt>
                <c:pt idx="21">
                  <c:v>8.9</c:v>
                </c:pt>
                <c:pt idx="22">
                  <c:v>9.8000000000000007</c:v>
                </c:pt>
                <c:pt idx="23">
                  <c:v>8.1</c:v>
                </c:pt>
                <c:pt idx="24">
                  <c:v>15.2</c:v>
                </c:pt>
                <c:pt idx="25">
                  <c:v>12.3</c:v>
                </c:pt>
                <c:pt idx="26">
                  <c:v>12.4</c:v>
                </c:pt>
                <c:pt idx="27">
                  <c:v>2.1</c:v>
                </c:pt>
                <c:pt idx="28">
                  <c:v>9.1</c:v>
                </c:pt>
                <c:pt idx="29">
                  <c:v>4.0999999999999996</c:v>
                </c:pt>
                <c:pt idx="30">
                  <c:v>3.4</c:v>
                </c:pt>
                <c:pt idx="31">
                  <c:v>1.9</c:v>
                </c:pt>
                <c:pt idx="32">
                  <c:v>15.2</c:v>
                </c:pt>
                <c:pt idx="33">
                  <c:v>4.0999999999999996</c:v>
                </c:pt>
                <c:pt idx="34">
                  <c:v>3.4</c:v>
                </c:pt>
                <c:pt idx="35">
                  <c:v>23.4</c:v>
                </c:pt>
                <c:pt idx="36">
                  <c:v>0.9</c:v>
                </c:pt>
                <c:pt idx="37">
                  <c:v>3.2</c:v>
                </c:pt>
                <c:pt idx="38">
                  <c:v>12.8</c:v>
                </c:pt>
              </c:numCache>
            </c:numRef>
          </c:val>
          <c:extLst>
            <c:ext xmlns:c16="http://schemas.microsoft.com/office/drawing/2014/chart" uri="{C3380CC4-5D6E-409C-BE32-E72D297353CC}">
              <c16:uniqueId val="{00000001-1855-4273-ABCD-96E23C14765D}"/>
            </c:ext>
          </c:extLst>
        </c:ser>
        <c:dLbls>
          <c:showLegendKey val="0"/>
          <c:showVal val="0"/>
          <c:showCatName val="0"/>
          <c:showSerName val="0"/>
          <c:showPercent val="0"/>
          <c:showBubbleSize val="0"/>
        </c:dLbls>
        <c:gapWidth val="182"/>
        <c:axId val="2007780272"/>
        <c:axId val="2007783152"/>
      </c:barChart>
      <c:catAx>
        <c:axId val="2007780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83152"/>
        <c:crosses val="autoZero"/>
        <c:auto val="1"/>
        <c:lblAlgn val="ctr"/>
        <c:lblOffset val="100"/>
        <c:noMultiLvlLbl val="0"/>
      </c:catAx>
      <c:valAx>
        <c:axId val="200778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8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).xlsx]Sheet10!PivotTable19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Sheet10!$G$3</c:f>
              <c:strCache>
                <c:ptCount val="1"/>
                <c:pt idx="0">
                  <c:v>Total</c:v>
                </c:pt>
              </c:strCache>
            </c:strRef>
          </c:tx>
          <c:spPr>
            <a:solidFill>
              <a:schemeClr val="accent1"/>
            </a:solidFill>
            <a:ln>
              <a:noFill/>
            </a:ln>
            <a:effectLst/>
          </c:spPr>
          <c:invertIfNegative val="0"/>
          <c:cat>
            <c:strRef>
              <c:f>Sheet10!$F$4:$F$6</c:f>
              <c:strCache>
                <c:ptCount val="2"/>
                <c:pt idx="0">
                  <c:v>15-08-2024</c:v>
                </c:pt>
                <c:pt idx="1">
                  <c:v>(blank)</c:v>
                </c:pt>
              </c:strCache>
            </c:strRef>
          </c:cat>
          <c:val>
            <c:numRef>
              <c:f>Sheet10!$G$4:$G$6</c:f>
              <c:numCache>
                <c:formatCode>General</c:formatCode>
                <c:ptCount val="2"/>
                <c:pt idx="0">
                  <c:v>642.89999999999964</c:v>
                </c:pt>
              </c:numCache>
            </c:numRef>
          </c:val>
          <c:extLst>
            <c:ext xmlns:c16="http://schemas.microsoft.com/office/drawing/2014/chart" uri="{C3380CC4-5D6E-409C-BE32-E72D297353CC}">
              <c16:uniqueId val="{00000000-7F32-46F2-9E5F-5E7231194254}"/>
            </c:ext>
          </c:extLst>
        </c:ser>
        <c:dLbls>
          <c:showLegendKey val="0"/>
          <c:showVal val="0"/>
          <c:showCatName val="0"/>
          <c:showSerName val="0"/>
          <c:showPercent val="0"/>
          <c:showBubbleSize val="0"/>
        </c:dLbls>
        <c:gapWidth val="150"/>
        <c:axId val="2007795632"/>
        <c:axId val="2007797072"/>
      </c:barChart>
      <c:catAx>
        <c:axId val="200779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97072"/>
        <c:crosses val="autoZero"/>
        <c:auto val="1"/>
        <c:lblAlgn val="ctr"/>
        <c:lblOffset val="100"/>
        <c:noMultiLvlLbl val="0"/>
      </c:catAx>
      <c:valAx>
        <c:axId val="200779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9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).xlsx]Sheet10!PivotTable20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Sheet10!$I$3</c:f>
              <c:strCache>
                <c:ptCount val="1"/>
                <c:pt idx="0">
                  <c:v>Sum of Oil_Price_USD_Barrel</c:v>
                </c:pt>
              </c:strCache>
            </c:strRef>
          </c:tx>
          <c:spPr>
            <a:solidFill>
              <a:schemeClr val="accent1"/>
            </a:solidFill>
            <a:ln>
              <a:noFill/>
            </a:ln>
            <a:effectLst/>
          </c:spPr>
          <c:invertIfNegative val="0"/>
          <c:cat>
            <c:strRef>
              <c:f>Sheet10!$H$4:$H$6</c:f>
              <c:strCache>
                <c:ptCount val="2"/>
                <c:pt idx="0">
                  <c:v>15-08-2024</c:v>
                </c:pt>
                <c:pt idx="1">
                  <c:v>(blank)</c:v>
                </c:pt>
              </c:strCache>
            </c:strRef>
          </c:cat>
          <c:val>
            <c:numRef>
              <c:f>Sheet10!$I$4:$I$6</c:f>
              <c:numCache>
                <c:formatCode>General</c:formatCode>
                <c:ptCount val="2"/>
                <c:pt idx="0">
                  <c:v>3036.1499999999978</c:v>
                </c:pt>
              </c:numCache>
            </c:numRef>
          </c:val>
          <c:extLst>
            <c:ext xmlns:c16="http://schemas.microsoft.com/office/drawing/2014/chart" uri="{C3380CC4-5D6E-409C-BE32-E72D297353CC}">
              <c16:uniqueId val="{00000000-FF53-4EC5-8E00-865D66E5EDAF}"/>
            </c:ext>
          </c:extLst>
        </c:ser>
        <c:dLbls>
          <c:showLegendKey val="0"/>
          <c:showVal val="0"/>
          <c:showCatName val="0"/>
          <c:showSerName val="0"/>
          <c:showPercent val="0"/>
          <c:showBubbleSize val="0"/>
        </c:dLbls>
        <c:gapWidth val="219"/>
        <c:overlap val="-27"/>
        <c:axId val="2113639744"/>
        <c:axId val="2113643104"/>
      </c:barChart>
      <c:lineChart>
        <c:grouping val="standard"/>
        <c:varyColors val="0"/>
        <c:ser>
          <c:idx val="1"/>
          <c:order val="1"/>
          <c:tx>
            <c:strRef>
              <c:f>Sheet10!$J$3</c:f>
              <c:strCache>
                <c:ptCount val="1"/>
                <c:pt idx="0">
                  <c:v>Sum of Gold_Price_USD_Ounce</c:v>
                </c:pt>
              </c:strCache>
            </c:strRef>
          </c:tx>
          <c:spPr>
            <a:ln w="28575" cap="rnd">
              <a:solidFill>
                <a:schemeClr val="accent2"/>
              </a:solidFill>
              <a:round/>
            </a:ln>
            <a:effectLst/>
          </c:spPr>
          <c:marker>
            <c:symbol val="none"/>
          </c:marker>
          <c:cat>
            <c:strRef>
              <c:f>Sheet10!$H$4:$H$6</c:f>
              <c:strCache>
                <c:ptCount val="2"/>
                <c:pt idx="0">
                  <c:v>15-08-2024</c:v>
                </c:pt>
                <c:pt idx="1">
                  <c:v>(blank)</c:v>
                </c:pt>
              </c:strCache>
            </c:strRef>
          </c:cat>
          <c:val>
            <c:numRef>
              <c:f>Sheet10!$J$4:$J$6</c:f>
              <c:numCache>
                <c:formatCode>General</c:formatCode>
                <c:ptCount val="2"/>
                <c:pt idx="0">
                  <c:v>97012.5</c:v>
                </c:pt>
              </c:numCache>
            </c:numRef>
          </c:val>
          <c:smooth val="0"/>
          <c:extLst>
            <c:ext xmlns:c16="http://schemas.microsoft.com/office/drawing/2014/chart" uri="{C3380CC4-5D6E-409C-BE32-E72D297353CC}">
              <c16:uniqueId val="{00000001-FF53-4EC5-8E00-865D66E5EDAF}"/>
            </c:ext>
          </c:extLst>
        </c:ser>
        <c:dLbls>
          <c:showLegendKey val="0"/>
          <c:showVal val="0"/>
          <c:showCatName val="0"/>
          <c:showSerName val="0"/>
          <c:showPercent val="0"/>
          <c:showBubbleSize val="0"/>
        </c:dLbls>
        <c:marker val="1"/>
        <c:smooth val="0"/>
        <c:axId val="2113639744"/>
        <c:axId val="2113643104"/>
      </c:lineChart>
      <c:catAx>
        <c:axId val="211363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643104"/>
        <c:crosses val="autoZero"/>
        <c:auto val="1"/>
        <c:lblAlgn val="ctr"/>
        <c:lblOffset val="100"/>
        <c:noMultiLvlLbl val="0"/>
      </c:catAx>
      <c:valAx>
        <c:axId val="211364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63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).xlsx]Sheet11!PivotTable21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Sheet11!$A$4:$A$19</c:f>
              <c:strCache>
                <c:ptCount val="15"/>
                <c:pt idx="0">
                  <c:v>A</c:v>
                </c:pt>
                <c:pt idx="1">
                  <c:v>A-</c:v>
                </c:pt>
                <c:pt idx="2">
                  <c:v>A+</c:v>
                </c:pt>
                <c:pt idx="3">
                  <c:v>AA</c:v>
                </c:pt>
                <c:pt idx="4">
                  <c:v>AA+</c:v>
                </c:pt>
                <c:pt idx="5">
                  <c:v>AAA</c:v>
                </c:pt>
                <c:pt idx="6">
                  <c:v>B-</c:v>
                </c:pt>
                <c:pt idx="7">
                  <c:v>B+</c:v>
                </c:pt>
                <c:pt idx="8">
                  <c:v>BB-</c:v>
                </c:pt>
                <c:pt idx="9">
                  <c:v>BB+</c:v>
                </c:pt>
                <c:pt idx="10">
                  <c:v>BBB</c:v>
                </c:pt>
                <c:pt idx="11">
                  <c:v>BBB-</c:v>
                </c:pt>
                <c:pt idx="12">
                  <c:v>BBB+</c:v>
                </c:pt>
                <c:pt idx="13">
                  <c:v>CCC+</c:v>
                </c:pt>
                <c:pt idx="14">
                  <c:v>(blank)</c:v>
                </c:pt>
              </c:strCache>
            </c:strRef>
          </c:cat>
          <c:val>
            <c:numRef>
              <c:f>Sheet11!$B$4:$B$19</c:f>
              <c:numCache>
                <c:formatCode>General</c:formatCode>
                <c:ptCount val="15"/>
                <c:pt idx="0">
                  <c:v>2</c:v>
                </c:pt>
                <c:pt idx="1">
                  <c:v>2</c:v>
                </c:pt>
                <c:pt idx="2">
                  <c:v>3</c:v>
                </c:pt>
                <c:pt idx="3">
                  <c:v>5</c:v>
                </c:pt>
                <c:pt idx="4">
                  <c:v>1</c:v>
                </c:pt>
                <c:pt idx="5">
                  <c:v>10</c:v>
                </c:pt>
                <c:pt idx="6">
                  <c:v>1</c:v>
                </c:pt>
                <c:pt idx="7">
                  <c:v>2</c:v>
                </c:pt>
                <c:pt idx="8">
                  <c:v>2</c:v>
                </c:pt>
                <c:pt idx="9">
                  <c:v>3</c:v>
                </c:pt>
                <c:pt idx="10">
                  <c:v>3</c:v>
                </c:pt>
                <c:pt idx="11">
                  <c:v>1</c:v>
                </c:pt>
                <c:pt idx="12">
                  <c:v>3</c:v>
                </c:pt>
                <c:pt idx="13">
                  <c:v>1</c:v>
                </c:pt>
              </c:numCache>
            </c:numRef>
          </c:val>
          <c:extLst>
            <c:ext xmlns:c16="http://schemas.microsoft.com/office/drawing/2014/chart" uri="{C3380CC4-5D6E-409C-BE32-E72D297353CC}">
              <c16:uniqueId val="{00000000-2BA2-4B47-B76F-74325C1260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).xlsx]Sheet11!PivotTable22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Sheet11!$F$3</c:f>
              <c:strCache>
                <c:ptCount val="1"/>
                <c:pt idx="0">
                  <c:v>Total</c:v>
                </c:pt>
              </c:strCache>
            </c:strRef>
          </c:tx>
          <c:spPr>
            <a:solidFill>
              <a:schemeClr val="accent1"/>
            </a:solidFill>
            <a:ln>
              <a:noFill/>
            </a:ln>
            <a:effectLst/>
          </c:spPr>
          <c:invertIfNegative val="0"/>
          <c:cat>
            <c:strRef>
              <c:f>Sheet11!$E$4:$E$44</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Sheet11!$F$4:$F$44</c:f>
              <c:numCache>
                <c:formatCode>General</c:formatCode>
                <c:ptCount val="40"/>
                <c:pt idx="0">
                  <c:v>2.1</c:v>
                </c:pt>
                <c:pt idx="1">
                  <c:v>8.6</c:v>
                </c:pt>
                <c:pt idx="2">
                  <c:v>5.4</c:v>
                </c:pt>
                <c:pt idx="3">
                  <c:v>8.9</c:v>
                </c:pt>
                <c:pt idx="4">
                  <c:v>7.8</c:v>
                </c:pt>
                <c:pt idx="5">
                  <c:v>6.7</c:v>
                </c:pt>
                <c:pt idx="6">
                  <c:v>5.8</c:v>
                </c:pt>
                <c:pt idx="7">
                  <c:v>8.9</c:v>
                </c:pt>
                <c:pt idx="8">
                  <c:v>4.2</c:v>
                </c:pt>
                <c:pt idx="9">
                  <c:v>7.3</c:v>
                </c:pt>
                <c:pt idx="10">
                  <c:v>8.6999999999999993</c:v>
                </c:pt>
                <c:pt idx="11">
                  <c:v>7.2</c:v>
                </c:pt>
                <c:pt idx="12">
                  <c:v>6.8</c:v>
                </c:pt>
                <c:pt idx="13">
                  <c:v>6.5</c:v>
                </c:pt>
                <c:pt idx="14">
                  <c:v>6.8</c:v>
                </c:pt>
                <c:pt idx="15">
                  <c:v>7.1</c:v>
                </c:pt>
                <c:pt idx="16">
                  <c:v>8.4</c:v>
                </c:pt>
                <c:pt idx="17">
                  <c:v>7.3</c:v>
                </c:pt>
                <c:pt idx="18">
                  <c:v>6.1</c:v>
                </c:pt>
                <c:pt idx="19">
                  <c:v>8.8000000000000007</c:v>
                </c:pt>
                <c:pt idx="20">
                  <c:v>3.8</c:v>
                </c:pt>
                <c:pt idx="21">
                  <c:v>9</c:v>
                </c:pt>
                <c:pt idx="22">
                  <c:v>6.7</c:v>
                </c:pt>
                <c:pt idx="23">
                  <c:v>6.8</c:v>
                </c:pt>
                <c:pt idx="24">
                  <c:v>3.2</c:v>
                </c:pt>
                <c:pt idx="25">
                  <c:v>6.9</c:v>
                </c:pt>
                <c:pt idx="26">
                  <c:v>8.6999999999999993</c:v>
                </c:pt>
                <c:pt idx="27">
                  <c:v>5.9</c:v>
                </c:pt>
                <c:pt idx="28">
                  <c:v>7.8</c:v>
                </c:pt>
                <c:pt idx="29">
                  <c:v>7.8</c:v>
                </c:pt>
                <c:pt idx="30">
                  <c:v>8.9</c:v>
                </c:pt>
                <c:pt idx="31">
                  <c:v>9.1</c:v>
                </c:pt>
                <c:pt idx="32">
                  <c:v>8.1</c:v>
                </c:pt>
                <c:pt idx="33">
                  <c:v>7.1</c:v>
                </c:pt>
                <c:pt idx="34">
                  <c:v>4.8</c:v>
                </c:pt>
                <c:pt idx="35">
                  <c:v>8.1999999999999993</c:v>
                </c:pt>
                <c:pt idx="36">
                  <c:v>7.9</c:v>
                </c:pt>
                <c:pt idx="37">
                  <c:v>8.1</c:v>
                </c:pt>
                <c:pt idx="38">
                  <c:v>6.2</c:v>
                </c:pt>
              </c:numCache>
            </c:numRef>
          </c:val>
          <c:extLst>
            <c:ext xmlns:c16="http://schemas.microsoft.com/office/drawing/2014/chart" uri="{C3380CC4-5D6E-409C-BE32-E72D297353CC}">
              <c16:uniqueId val="{00000000-FDBF-4D1E-AFBF-0B2E0CCC85E6}"/>
            </c:ext>
          </c:extLst>
        </c:ser>
        <c:dLbls>
          <c:showLegendKey val="0"/>
          <c:showVal val="0"/>
          <c:showCatName val="0"/>
          <c:showSerName val="0"/>
          <c:showPercent val="0"/>
          <c:showBubbleSize val="0"/>
        </c:dLbls>
        <c:gapWidth val="182"/>
        <c:axId val="2106028800"/>
        <c:axId val="2106016800"/>
      </c:barChart>
      <c:catAx>
        <c:axId val="210602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016800"/>
        <c:crosses val="autoZero"/>
        <c:auto val="1"/>
        <c:lblAlgn val="ctr"/>
        <c:lblOffset val="100"/>
        <c:noMultiLvlLbl val="0"/>
      </c:catAx>
      <c:valAx>
        <c:axId val="210601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02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[U.SARANYA (EXCEL -MILESTONE ).xlsx]Sheet11!PivotTable23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Sheet11!$J$6</c:f>
              <c:strCache>
                <c:ptCount val="1"/>
                <c:pt idx="0">
                  <c:v>Total</c:v>
                </c:pt>
              </c:strCache>
            </c:strRef>
          </c:tx>
          <c:spPr>
            <a:solidFill>
              <a:schemeClr val="accent1"/>
            </a:solidFill>
            <a:ln>
              <a:noFill/>
            </a:ln>
            <a:effectLst/>
            <a:sp3d/>
          </c:spPr>
          <c:cat>
            <c:strRef>
              <c:f>Sheet11!$I$7:$I$47</c:f>
              <c:strCache>
                <c:ptCount val="40"/>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pt idx="39">
                  <c:v>(blank)</c:v>
                </c:pt>
              </c:strCache>
            </c:strRef>
          </c:cat>
          <c:val>
            <c:numRef>
              <c:f>Sheet11!$J$7:$J$47</c:f>
              <c:numCache>
                <c:formatCode>General</c:formatCode>
                <c:ptCount val="4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0-1376-45FA-AEE7-31A49304A2AE}"/>
            </c:ext>
          </c:extLst>
        </c:ser>
        <c:dLbls>
          <c:showLegendKey val="0"/>
          <c:showVal val="0"/>
          <c:showCatName val="0"/>
          <c:showSerName val="0"/>
          <c:showPercent val="0"/>
          <c:showBubbleSize val="0"/>
        </c:dLbls>
        <c:axId val="2055726896"/>
        <c:axId val="2055724976"/>
        <c:axId val="0"/>
      </c:area3DChart>
      <c:catAx>
        <c:axId val="2055726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724976"/>
        <c:crosses val="autoZero"/>
        <c:auto val="1"/>
        <c:lblAlgn val="ctr"/>
        <c:lblOffset val="100"/>
        <c:noMultiLvlLbl val="0"/>
      </c:catAx>
      <c:valAx>
        <c:axId val="2055724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7268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image" Target="../media/image1.jp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49530</xdr:rowOff>
    </xdr:from>
    <xdr:to>
      <xdr:col>4</xdr:col>
      <xdr:colOff>266700</xdr:colOff>
      <xdr:row>59</xdr:row>
      <xdr:rowOff>49530</xdr:rowOff>
    </xdr:to>
    <xdr:graphicFrame macro="">
      <xdr:nvGraphicFramePr>
        <xdr:cNvPr id="3" name="Chart 2">
          <a:extLst>
            <a:ext uri="{FF2B5EF4-FFF2-40B4-BE49-F238E27FC236}">
              <a16:creationId xmlns:a16="http://schemas.microsoft.com/office/drawing/2014/main" id="{28A7D717-DE63-3137-B317-AEC5A9663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182880</xdr:colOff>
      <xdr:row>44</xdr:row>
      <xdr:rowOff>80010</xdr:rowOff>
    </xdr:from>
    <xdr:to>
      <xdr:col>7</xdr:col>
      <xdr:colOff>548640</xdr:colOff>
      <xdr:row>59</xdr:row>
      <xdr:rowOff>80010</xdr:rowOff>
    </xdr:to>
    <xdr:graphicFrame macro="">
      <xdr:nvGraphicFramePr>
        <xdr:cNvPr id="4" name="Chart 3">
          <a:extLst>
            <a:ext uri="{FF2B5EF4-FFF2-40B4-BE49-F238E27FC236}">
              <a16:creationId xmlns:a16="http://schemas.microsoft.com/office/drawing/2014/main" id="{0F408912-9DD8-B2DC-212F-29C9F89C2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388620</xdr:colOff>
      <xdr:row>45</xdr:row>
      <xdr:rowOff>26670</xdr:rowOff>
    </xdr:from>
    <xdr:to>
      <xdr:col>6</xdr:col>
      <xdr:colOff>1706880</xdr:colOff>
      <xdr:row>60</xdr:row>
      <xdr:rowOff>26670</xdr:rowOff>
    </xdr:to>
    <xdr:graphicFrame macro="">
      <xdr:nvGraphicFramePr>
        <xdr:cNvPr id="7" name="Chart 6">
          <a:extLst>
            <a:ext uri="{FF2B5EF4-FFF2-40B4-BE49-F238E27FC236}">
              <a16:creationId xmlns:a16="http://schemas.microsoft.com/office/drawing/2014/main" id="{DD960B2D-5A64-7E7E-020D-A1DFAA7F2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102870</xdr:rowOff>
    </xdr:from>
    <xdr:to>
      <xdr:col>3</xdr:col>
      <xdr:colOff>571500</xdr:colOff>
      <xdr:row>42</xdr:row>
      <xdr:rowOff>102870</xdr:rowOff>
    </xdr:to>
    <xdr:graphicFrame macro="">
      <xdr:nvGraphicFramePr>
        <xdr:cNvPr id="8" name="Chart 7">
          <a:extLst>
            <a:ext uri="{FF2B5EF4-FFF2-40B4-BE49-F238E27FC236}">
              <a16:creationId xmlns:a16="http://schemas.microsoft.com/office/drawing/2014/main" id="{51E894D3-E431-BC07-9129-725425D80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1813560</xdr:colOff>
      <xdr:row>45</xdr:row>
      <xdr:rowOff>34290</xdr:rowOff>
    </xdr:from>
    <xdr:to>
      <xdr:col>10</xdr:col>
      <xdr:colOff>548640</xdr:colOff>
      <xdr:row>60</xdr:row>
      <xdr:rowOff>34290</xdr:rowOff>
    </xdr:to>
    <xdr:graphicFrame macro="">
      <xdr:nvGraphicFramePr>
        <xdr:cNvPr id="9" name="Chart 8">
          <a:extLst>
            <a:ext uri="{FF2B5EF4-FFF2-40B4-BE49-F238E27FC236}">
              <a16:creationId xmlns:a16="http://schemas.microsoft.com/office/drawing/2014/main" id="{8DDC3E6E-2851-9FCA-E9D6-650424992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225381</xdr:colOff>
      <xdr:row>43</xdr:row>
      <xdr:rowOff>107324</xdr:rowOff>
    </xdr:to>
    <xdr:pic>
      <xdr:nvPicPr>
        <xdr:cNvPr id="9" name="Picture 8">
          <a:extLst>
            <a:ext uri="{FF2B5EF4-FFF2-40B4-BE49-F238E27FC236}">
              <a16:creationId xmlns:a16="http://schemas.microsoft.com/office/drawing/2014/main" id="{F0F34F16-C297-8CA5-47E9-1947DD3FBF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742536" cy="7952704"/>
        </a:xfrm>
        <a:prstGeom prst="rect">
          <a:avLst/>
        </a:prstGeom>
      </xdr:spPr>
    </xdr:pic>
    <xdr:clientData/>
  </xdr:twoCellAnchor>
  <xdr:twoCellAnchor>
    <xdr:from>
      <xdr:col>17</xdr:col>
      <xdr:colOff>85859</xdr:colOff>
      <xdr:row>8</xdr:row>
      <xdr:rowOff>32199</xdr:rowOff>
    </xdr:from>
    <xdr:to>
      <xdr:col>24</xdr:col>
      <xdr:colOff>343437</xdr:colOff>
      <xdr:row>23</xdr:row>
      <xdr:rowOff>38639</xdr:rowOff>
    </xdr:to>
    <xdr:graphicFrame macro="">
      <xdr:nvGraphicFramePr>
        <xdr:cNvPr id="10" name="Chart 9">
          <a:extLst>
            <a:ext uri="{FF2B5EF4-FFF2-40B4-BE49-F238E27FC236}">
              <a16:creationId xmlns:a16="http://schemas.microsoft.com/office/drawing/2014/main" id="{0B35DF80-49C2-4AAA-B94F-EF8FA2947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64394</xdr:colOff>
      <xdr:row>25</xdr:row>
      <xdr:rowOff>85859</xdr:rowOff>
    </xdr:from>
    <xdr:to>
      <xdr:col>24</xdr:col>
      <xdr:colOff>354169</xdr:colOff>
      <xdr:row>40</xdr:row>
      <xdr:rowOff>92299</xdr:rowOff>
    </xdr:to>
    <xdr:graphicFrame macro="">
      <xdr:nvGraphicFramePr>
        <xdr:cNvPr id="11" name="Chart 10">
          <a:extLst>
            <a:ext uri="{FF2B5EF4-FFF2-40B4-BE49-F238E27FC236}">
              <a16:creationId xmlns:a16="http://schemas.microsoft.com/office/drawing/2014/main" id="{18F6052F-06BA-4D5C-A157-37A62A989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547352</xdr:colOff>
      <xdr:row>7</xdr:row>
      <xdr:rowOff>96592</xdr:rowOff>
    </xdr:from>
    <xdr:to>
      <xdr:col>16</xdr:col>
      <xdr:colOff>242552</xdr:colOff>
      <xdr:row>22</xdr:row>
      <xdr:rowOff>96592</xdr:rowOff>
    </xdr:to>
    <xdr:graphicFrame macro="">
      <xdr:nvGraphicFramePr>
        <xdr:cNvPr id="12" name="Chart 11">
          <a:extLst>
            <a:ext uri="{FF2B5EF4-FFF2-40B4-BE49-F238E27FC236}">
              <a16:creationId xmlns:a16="http://schemas.microsoft.com/office/drawing/2014/main" id="{06B8D7E7-744A-44C3-89BE-45E3E9BF1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536620</xdr:colOff>
      <xdr:row>25</xdr:row>
      <xdr:rowOff>96592</xdr:rowOff>
    </xdr:from>
    <xdr:to>
      <xdr:col>16</xdr:col>
      <xdr:colOff>199193</xdr:colOff>
      <xdr:row>40</xdr:row>
      <xdr:rowOff>104213</xdr:rowOff>
    </xdr:to>
    <xdr:graphicFrame macro="">
      <xdr:nvGraphicFramePr>
        <xdr:cNvPr id="13" name="Chart 12">
          <a:extLst>
            <a:ext uri="{FF2B5EF4-FFF2-40B4-BE49-F238E27FC236}">
              <a16:creationId xmlns:a16="http://schemas.microsoft.com/office/drawing/2014/main" id="{A442F5F7-6626-45E8-8837-4D8F359AB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203915</xdr:colOff>
      <xdr:row>7</xdr:row>
      <xdr:rowOff>107326</xdr:rowOff>
    </xdr:from>
    <xdr:to>
      <xdr:col>7</xdr:col>
      <xdr:colOff>508715</xdr:colOff>
      <xdr:row>22</xdr:row>
      <xdr:rowOff>107326</xdr:rowOff>
    </xdr:to>
    <xdr:graphicFrame macro="">
      <xdr:nvGraphicFramePr>
        <xdr:cNvPr id="14" name="Chart 13">
          <a:extLst>
            <a:ext uri="{FF2B5EF4-FFF2-40B4-BE49-F238E27FC236}">
              <a16:creationId xmlns:a16="http://schemas.microsoft.com/office/drawing/2014/main" id="{504407D0-6DA8-4BA5-B043-25557D103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193183</xdr:colOff>
      <xdr:row>25</xdr:row>
      <xdr:rowOff>0</xdr:rowOff>
    </xdr:from>
    <xdr:to>
      <xdr:col>7</xdr:col>
      <xdr:colOff>589315</xdr:colOff>
      <xdr:row>41</xdr:row>
      <xdr:rowOff>10732</xdr:rowOff>
    </xdr:to>
    <xdr:graphicFrame macro="">
      <xdr:nvGraphicFramePr>
        <xdr:cNvPr id="15" name="Chart 14">
          <a:extLst>
            <a:ext uri="{FF2B5EF4-FFF2-40B4-BE49-F238E27FC236}">
              <a16:creationId xmlns:a16="http://schemas.microsoft.com/office/drawing/2014/main" id="{145C8345-4DE3-4A13-94B5-DBD3D3D63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182451</xdr:colOff>
      <xdr:row>2</xdr:row>
      <xdr:rowOff>42930</xdr:rowOff>
    </xdr:from>
    <xdr:to>
      <xdr:col>19</xdr:col>
      <xdr:colOff>364902</xdr:colOff>
      <xdr:row>6</xdr:row>
      <xdr:rowOff>139522</xdr:rowOff>
    </xdr:to>
    <xdr:sp macro="" textlink="">
      <xdr:nvSpPr>
        <xdr:cNvPr id="16" name="Rectangle 15">
          <a:extLst>
            <a:ext uri="{FF2B5EF4-FFF2-40B4-BE49-F238E27FC236}">
              <a16:creationId xmlns:a16="http://schemas.microsoft.com/office/drawing/2014/main" id="{78B838AD-6417-6A62-D9FE-74B690C67082}"/>
            </a:ext>
          </a:extLst>
        </xdr:cNvPr>
        <xdr:cNvSpPr/>
      </xdr:nvSpPr>
      <xdr:spPr>
        <a:xfrm>
          <a:off x="3852930" y="407831"/>
          <a:ext cx="8135155" cy="8263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t>GLOBAL</a:t>
          </a:r>
          <a:r>
            <a:rPr lang="en-IN" sz="4800" baseline="0"/>
            <a:t> FINANCE DATA</a:t>
          </a:r>
          <a:endParaRPr lang="en-IN" sz="48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44</xdr:row>
      <xdr:rowOff>64770</xdr:rowOff>
    </xdr:from>
    <xdr:to>
      <xdr:col>2</xdr:col>
      <xdr:colOff>1706880</xdr:colOff>
      <xdr:row>59</xdr:row>
      <xdr:rowOff>64770</xdr:rowOff>
    </xdr:to>
    <xdr:graphicFrame macro="">
      <xdr:nvGraphicFramePr>
        <xdr:cNvPr id="2" name="Chart 1">
          <a:extLst>
            <a:ext uri="{FF2B5EF4-FFF2-40B4-BE49-F238E27FC236}">
              <a16:creationId xmlns:a16="http://schemas.microsoft.com/office/drawing/2014/main" id="{07F95384-6D10-1E04-2449-3753DED8E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121920</xdr:colOff>
      <xdr:row>6</xdr:row>
      <xdr:rowOff>110490</xdr:rowOff>
    </xdr:from>
    <xdr:to>
      <xdr:col>6</xdr:col>
      <xdr:colOff>2529840</xdr:colOff>
      <xdr:row>21</xdr:row>
      <xdr:rowOff>110490</xdr:rowOff>
    </xdr:to>
    <xdr:graphicFrame macro="">
      <xdr:nvGraphicFramePr>
        <xdr:cNvPr id="3" name="Chart 2">
          <a:extLst>
            <a:ext uri="{FF2B5EF4-FFF2-40B4-BE49-F238E27FC236}">
              <a16:creationId xmlns:a16="http://schemas.microsoft.com/office/drawing/2014/main" id="{F4659899-CB62-A9F4-D1F8-A63E20A70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121920</xdr:colOff>
      <xdr:row>6</xdr:row>
      <xdr:rowOff>11430</xdr:rowOff>
    </xdr:from>
    <xdr:to>
      <xdr:col>10</xdr:col>
      <xdr:colOff>160020</xdr:colOff>
      <xdr:row>21</xdr:row>
      <xdr:rowOff>11430</xdr:rowOff>
    </xdr:to>
    <xdr:graphicFrame macro="">
      <xdr:nvGraphicFramePr>
        <xdr:cNvPr id="4" name="Chart 3">
          <a:extLst>
            <a:ext uri="{FF2B5EF4-FFF2-40B4-BE49-F238E27FC236}">
              <a16:creationId xmlns:a16="http://schemas.microsoft.com/office/drawing/2014/main" id="{32148E65-D40B-22E6-C9FD-63C9C4D1E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144780</xdr:rowOff>
    </xdr:from>
    <xdr:to>
      <xdr:col>3</xdr:col>
      <xdr:colOff>594360</xdr:colOff>
      <xdr:row>33</xdr:row>
      <xdr:rowOff>72390</xdr:rowOff>
    </xdr:to>
    <xdr:graphicFrame macro="">
      <xdr:nvGraphicFramePr>
        <xdr:cNvPr id="2" name="Chart 1">
          <a:extLst>
            <a:ext uri="{FF2B5EF4-FFF2-40B4-BE49-F238E27FC236}">
              <a16:creationId xmlns:a16="http://schemas.microsoft.com/office/drawing/2014/main" id="{E21DB368-0408-ACF5-838B-7279861EE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44</xdr:row>
      <xdr:rowOff>64770</xdr:rowOff>
    </xdr:from>
    <xdr:to>
      <xdr:col>7</xdr:col>
      <xdr:colOff>388620</xdr:colOff>
      <xdr:row>59</xdr:row>
      <xdr:rowOff>64770</xdr:rowOff>
    </xdr:to>
    <xdr:graphicFrame macro="">
      <xdr:nvGraphicFramePr>
        <xdr:cNvPr id="3" name="Chart 2">
          <a:extLst>
            <a:ext uri="{FF2B5EF4-FFF2-40B4-BE49-F238E27FC236}">
              <a16:creationId xmlns:a16="http://schemas.microsoft.com/office/drawing/2014/main" id="{DAB8B62A-1D4F-78A9-99CD-C32996F3A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731520</xdr:colOff>
      <xdr:row>9</xdr:row>
      <xdr:rowOff>53340</xdr:rowOff>
    </xdr:from>
    <xdr:to>
      <xdr:col>7</xdr:col>
      <xdr:colOff>281940</xdr:colOff>
      <xdr:row>22</xdr:row>
      <xdr:rowOff>142875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BC238A48-76D0-45F2-4680-57D64AE0630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846320" y="169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xdr:colOff>
      <xdr:row>4</xdr:row>
      <xdr:rowOff>99060</xdr:rowOff>
    </xdr:from>
    <xdr:to>
      <xdr:col>14</xdr:col>
      <xdr:colOff>99060</xdr:colOff>
      <xdr:row>18</xdr:row>
      <xdr:rowOff>5715</xdr:rowOff>
    </xdr:to>
    <mc:AlternateContent xmlns:mc="http://schemas.openxmlformats.org/markup-compatibility/2006">
      <mc:Choice xmlns:a14="http://schemas.microsoft.com/office/drawing/2010/main" Requires="a14">
        <xdr:graphicFrame macro="">
          <xdr:nvGraphicFramePr>
            <xdr:cNvPr id="5" name="Date">
              <a:extLst>
                <a:ext uri="{FF2B5EF4-FFF2-40B4-BE49-F238E27FC236}">
                  <a16:creationId xmlns:a16="http://schemas.microsoft.com/office/drawing/2014/main" id="{F83A25E4-F637-87FF-2C40-69C9794C81B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0005060" y="83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129540</xdr:colOff>
      <xdr:row>47</xdr:row>
      <xdr:rowOff>125730</xdr:rowOff>
    </xdr:from>
    <xdr:to>
      <xdr:col>13</xdr:col>
      <xdr:colOff>320040</xdr:colOff>
      <xdr:row>62</xdr:row>
      <xdr:rowOff>125730</xdr:rowOff>
    </xdr:to>
    <xdr:graphicFrame macro="">
      <xdr:nvGraphicFramePr>
        <xdr:cNvPr id="6" name="Chart 5">
          <a:extLst>
            <a:ext uri="{FF2B5EF4-FFF2-40B4-BE49-F238E27FC236}">
              <a16:creationId xmlns:a16="http://schemas.microsoft.com/office/drawing/2014/main" id="{C38E4414-D34C-6B91-C0D7-5FD98696A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d.docs.live.net/D817B8B801DC9D19/&#12489;&#12461;&#12517;&#12513;&#12531;&#12488;/U.SARANYA%20(EXCEL%20-MILESTONE%2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iya u" refreshedDate="45919.429685069445" createdVersion="8" refreshedVersion="8" minRefreshableVersion="3" recordCount="5" xr:uid="{08C4C8EA-BE95-42EF-945D-646A4EB2AC5D}">
  <cacheSource type="worksheet">
    <worksheetSource ref="A17:C22" sheet="2 mark"/>
  </cacheSource>
  <cacheFields count="3">
    <cacheField name="Order id" numFmtId="0">
      <sharedItems containsSemiMixedTypes="0" containsString="0" containsNumber="1" containsInteger="1" minValue="1001" maxValue="1005"/>
    </cacheField>
    <cacheField name="region" numFmtId="0">
      <sharedItems count="4">
        <s v="North"/>
        <s v="South"/>
        <s v="East"/>
        <s v="West"/>
      </sharedItems>
    </cacheField>
    <cacheField name="sal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iya u" refreshedDate="45919.495169212962" createdVersion="8" refreshedVersion="8" minRefreshableVersion="3" recordCount="40" xr:uid="{BD65267D-59EE-4884-8AB1-F603BADD553E}">
  <cacheSource type="worksheet">
    <worksheetSource ref="A1:AB1048576" sheet="dataset " r:id="rId2"/>
  </cacheSource>
  <cacheFields count="28">
    <cacheField name="Country" numFmtId="0">
      <sharedItems containsBlank="1" count="40">
        <s v="United States"/>
        <s v="China"/>
        <s v="Japan"/>
        <s v="Germany"/>
        <s v="United Kingdom"/>
        <s v="France"/>
        <s v="India"/>
        <s v="Canada"/>
        <s v="Brazil"/>
        <s v="Australia"/>
        <s v="South Korea"/>
        <s v="Russia"/>
        <s v="Mexico"/>
        <s v="Italy"/>
        <s v="Spain"/>
        <s v="Netherlands"/>
        <s v="Switzerland"/>
        <s v="Sweden"/>
        <s v="Norway"/>
        <s v="Denmark"/>
        <s v="Singapore"/>
        <s v="Hong Kong"/>
        <s v="Taiwan"/>
        <s v="Indonesia"/>
        <s v="Thailand"/>
        <s v="Malaysia"/>
        <s v="Philippines"/>
        <s v="Vietnam"/>
        <s v="Turkey"/>
        <s v="South Africa"/>
        <s v="Egypt"/>
        <s v="Nigeria"/>
        <s v="Chile"/>
        <s v="Argentina"/>
        <s v="Colombia"/>
        <s v="Peru"/>
        <s v="UAE"/>
        <s v="Saudi Arabia"/>
        <s v="Israel"/>
        <m/>
      </sharedItems>
    </cacheField>
    <cacheField name="Date" numFmtId="0">
      <sharedItems containsNonDate="0" containsDate="1" containsString="0" containsBlank="1" minDate="2024-08-15T00:00:00" maxDate="2024-08-16T00:00:00"/>
    </cacheField>
    <cacheField name="Stock_Index" numFmtId="0">
      <sharedItems containsBlank="1" count="40">
        <s v="S&amp;P_500"/>
        <s v="Shanghai_Composite"/>
        <s v="Nikkei_225"/>
        <s v="DAX"/>
        <s v="FTSE_100"/>
        <s v="CAC_40"/>
        <s v="Sensex"/>
        <s v="TSX"/>
        <s v="Bovespa"/>
        <s v="ASX_200"/>
        <s v="KOSPI"/>
        <s v="MOEX"/>
        <s v="IPC"/>
        <s v="FTSE_MIB"/>
        <s v="IBEX_35"/>
        <s v="AEX"/>
        <s v="SMI"/>
        <s v="OMX_Stockholm"/>
        <s v="OSE"/>
        <s v="OMXC_20"/>
        <s v="STI"/>
        <s v="Hang_Seng"/>
        <s v="TAIEX"/>
        <s v="JCI"/>
        <s v="SET"/>
        <s v="KLCI"/>
        <s v="PSE"/>
        <s v="VN_Index"/>
        <s v="BIST_100"/>
        <s v="JSE"/>
        <s v="EGX_30"/>
        <s v="NSE"/>
        <s v="IPSA"/>
        <s v="Merval"/>
        <s v="COLCAP"/>
        <s v="Lima_General"/>
        <s v="ADX"/>
        <s v="Tadawul"/>
        <s v="TA_125"/>
        <m/>
      </sharedItems>
    </cacheField>
    <cacheField name="Index_Value" numFmtId="0">
      <sharedItems containsString="0" containsBlank="1" containsNumber="1" minValue="889.3" maxValue="1567890.2"/>
    </cacheField>
    <cacheField name="Daily_Change_Percent" numFmtId="0">
      <sharedItems containsString="0" containsBlank="1" containsNumber="1" minValue="-1.23" maxValue="3.45"/>
    </cacheField>
    <cacheField name="Market_Cap_Trillion_USD" numFmtId="0">
      <sharedItems containsString="0" containsBlank="1" containsNumber="1" minValue="0.03" maxValue="51.2"/>
    </cacheField>
    <cacheField name="GDP_Growth_Rate_Percent" numFmtId="0">
      <sharedItems containsString="0" containsBlank="1" containsNumber="1" minValue="-1.9" maxValue="6.8"/>
    </cacheField>
    <cacheField name="Inflation_Rate_Percent" numFmtId="0">
      <sharedItems containsString="0" containsBlank="1" containsNumber="1" minValue="-0.4" maxValue="211.4"/>
    </cacheField>
    <cacheField name="Interest_Rate_Percent" numFmtId="0">
      <sharedItems containsString="0" containsBlank="1" containsNumber="1" minValue="-0.1" maxValue="133"/>
    </cacheField>
    <cacheField name="Unemployment_Rate_Percent" numFmtId="0">
      <sharedItems containsString="0" containsBlank="1" containsNumber="1" minValue="1.2" maxValue="28.7"/>
    </cacheField>
    <cacheField name="Currency_Code" numFmtId="0">
      <sharedItems containsBlank="1"/>
    </cacheField>
    <cacheField name="Exchange_Rate_USD" numFmtId="0">
      <sharedItems containsString="0" containsBlank="1" containsNumber="1" minValue="0.78" maxValue="24789"/>
    </cacheField>
    <cacheField name="Currency_Change_YTD_Percent" numFmtId="0">
      <sharedItems containsString="0" containsBlank="1" containsNumber="1" minValue="-89.7" maxValue="6.2"/>
    </cacheField>
    <cacheField name="Government_Debt_GDP_Percent" numFmtId="0">
      <sharedItems containsString="0" containsBlank="1" containsNumber="1" minValue="0.1" maxValue="263.10000000000002"/>
    </cacheField>
    <cacheField name="Current_Account_Balance_Billion_USD" numFmtId="0">
      <sharedItems containsString="0" containsBlank="1" containsNumber="1" minValue="-695.2" maxValue="382.9"/>
    </cacheField>
    <cacheField name="FDI_Inflow_Billion_USD" numFmtId="0">
      <sharedItems containsString="0" containsBlank="1" containsNumber="1" minValue="2.2999999999999998" maxValue="456.8"/>
    </cacheField>
    <cacheField name="Commodity_Index" numFmtId="0">
      <sharedItems containsString="0" containsBlank="1" containsNumber="1" minValue="0.45" maxValue="1.18"/>
    </cacheField>
    <cacheField name="Country2" numFmtId="0">
      <sharedItems containsString="0" containsBlank="1" containsNumber="1" minValue="77.849999999999994" maxValue="77.849999999999994"/>
    </cacheField>
    <cacheField name="Date2" numFmtId="0">
      <sharedItems containsString="0" containsBlank="1" containsNumber="1" minValue="2487.5" maxValue="2487.5"/>
    </cacheField>
    <cacheField name="Stock_Index2" numFmtId="0">
      <sharedItems containsString="0" containsBlank="1" containsNumber="1" minValue="0.68" maxValue="89.45"/>
    </cacheField>
    <cacheField name="Index_Value2" numFmtId="0">
      <sharedItems containsBlank="1"/>
    </cacheField>
    <cacheField name="Daily_Change_Percent2" numFmtId="0">
      <sharedItems containsString="0" containsBlank="1" containsNumber="1" minValue="2.1" maxValue="9.1"/>
    </cacheField>
    <cacheField name="Market_Cap_Trillion_USD2" numFmtId="0">
      <sharedItems containsBlank="1"/>
    </cacheField>
    <cacheField name="GDP_Growth_Rate_Percent2" numFmtId="0">
      <sharedItems containsString="0" containsBlank="1" containsNumber="1" minValue="34.5" maxValue="145.6"/>
    </cacheField>
    <cacheField name="Inflation_Rate_Percent2" numFmtId="0">
      <sharedItems containsString="0" containsBlank="1" containsNumber="1" minValue="-12.3" maxValue="23.4"/>
    </cacheField>
    <cacheField name="Interest_Rate_Percent2" numFmtId="0">
      <sharedItems containsString="0" containsBlank="1" containsNumber="1" minValue="1.2" maxValue="34.5"/>
    </cacheField>
    <cacheField name="Unemployment_Rate_Percent2" numFmtId="0">
      <sharedItems containsNonDate="0" containsString="0" containsBlank="1"/>
    </cacheField>
    <cacheField name="Currency_Code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iya u" refreshedDate="45919.505674652777" createdVersion="8" refreshedVersion="8" minRefreshableVersion="3" recordCount="39" xr:uid="{5487DE10-D641-4A9D-ADC2-B245377FD585}">
  <cacheSource type="worksheet">
    <worksheetSource name="Global_finance_data"/>
  </cacheSource>
  <cacheFields count="26">
    <cacheField name="Country" numFmtId="0">
      <sharedItems count="40">
        <s v="United States"/>
        <s v="China"/>
        <s v="Japan"/>
        <s v="Germany"/>
        <s v="United Kingdom"/>
        <s v="France"/>
        <s v="India"/>
        <s v="Canada"/>
        <s v="Brazil"/>
        <s v="Australia"/>
        <s v="South Korea"/>
        <s v="Russia"/>
        <s v="Mexico"/>
        <s v="Italy"/>
        <s v="Spain"/>
        <s v="Netherlands"/>
        <s v="Switzerland"/>
        <s v="Sweden"/>
        <s v="Norway"/>
        <s v="Denmark"/>
        <s v="Singapore"/>
        <s v="Hong Kong"/>
        <s v="Taiwan"/>
        <s v="Indonesia"/>
        <s v="Thailand"/>
        <s v="Malaysia"/>
        <s v="Philippines"/>
        <s v="Vietnam"/>
        <s v="Turkey"/>
        <s v="South Africa"/>
        <s v="Egypt"/>
        <s v="Nigeria"/>
        <s v="Chile"/>
        <s v="Argentina"/>
        <s v="Colombia"/>
        <s v="Peru"/>
        <s v="UAE"/>
        <s v="Saudi Arabia"/>
        <s v="Israel"/>
        <s v="Formula1" f="1"/>
      </sharedItems>
    </cacheField>
    <cacheField name="Date" numFmtId="14">
      <sharedItems containsSemiMixedTypes="0" containsNonDate="0" containsDate="1" containsString="0" minDate="2024-08-15T00:00:00" maxDate="2024-08-16T00:00:00"/>
    </cacheField>
    <cacheField name="Stock_Index" numFmtId="0">
      <sharedItems count="39">
        <s v="S&amp;P_500"/>
        <s v="Shanghai_Composite"/>
        <s v="Nikkei_225"/>
        <s v="DAX"/>
        <s v="FTSE_100"/>
        <s v="CAC_40"/>
        <s v="Sensex"/>
        <s v="TSX"/>
        <s v="Bovespa"/>
        <s v="ASX_200"/>
        <s v="KOSPI"/>
        <s v="MOEX"/>
        <s v="IPC"/>
        <s v="FTSE_MIB"/>
        <s v="IBEX_35"/>
        <s v="AEX"/>
        <s v="SMI"/>
        <s v="OMX_Stockholm"/>
        <s v="OSE"/>
        <s v="OMXC_20"/>
        <s v="STI"/>
        <s v="Hang_Seng"/>
        <s v="TAIEX"/>
        <s v="JCI"/>
        <s v="SET"/>
        <s v="KLCI"/>
        <s v="PSE"/>
        <s v="VN_Index"/>
        <s v="BIST_100"/>
        <s v="JSE"/>
        <s v="EGX_30"/>
        <s v="NSE"/>
        <s v="IPSA"/>
        <s v="Merval"/>
        <s v="COLCAP"/>
        <s v="Lima_General"/>
        <s v="ADX"/>
        <s v="Tadawul"/>
        <s v="TA_125"/>
      </sharedItems>
    </cacheField>
    <cacheField name="Index_Value" numFmtId="0">
      <sharedItems containsSemiMixedTypes="0" containsString="0" containsNumber="1" minValue="889.3" maxValue="1567890.2"/>
    </cacheField>
    <cacheField name="Daily_Change_Percent" numFmtId="0">
      <sharedItems containsSemiMixedTypes="0" containsString="0" containsNumber="1" minValue="-1.23" maxValue="3.45" count="24">
        <n v="0.34"/>
        <n v="-0.82"/>
        <n v="1.24"/>
        <n v="0.67"/>
        <n v="-0.15"/>
        <n v="0.28000000000000003"/>
        <n v="0.89"/>
        <n v="0.45"/>
        <n v="1.67"/>
        <n v="0.22"/>
        <n v="-0.34"/>
        <n v="0.78"/>
        <n v="0.91"/>
        <n v="0.12"/>
        <n v="0.23"/>
        <n v="0.56000000000000005"/>
        <n v="-1.23"/>
        <n v="1.23"/>
        <n v="2.34"/>
        <n v="1.45"/>
        <n v="2.1"/>
        <n v="3.45"/>
        <n v="1.1200000000000001"/>
        <n v="-0.78"/>
      </sharedItems>
    </cacheField>
    <cacheField name="Market_Cap_Trillion_USD" numFmtId="0">
      <sharedItems containsSemiMixedTypes="0" containsString="0" containsNumber="1" minValue="0.03" maxValue="51.2"/>
    </cacheField>
    <cacheField name="GDP_Growth_Rate_Percent" numFmtId="0">
      <sharedItems containsSemiMixedTypes="0" containsString="0" containsNumber="1" minValue="-1.9" maxValue="6.8" count="29">
        <n v="2.8"/>
        <n v="5.2"/>
        <n v="0.9"/>
        <n v="0.3"/>
        <n v="1.1000000000000001"/>
        <n v="1.3"/>
        <n v="6.8"/>
        <n v="2.9"/>
        <n v="2.1"/>
        <n v="1.7"/>
        <n v="3.1"/>
        <n v="-1.9"/>
        <n v="2.4"/>
        <n v="0.7"/>
        <n v="2.5"/>
        <n v="0.6"/>
        <n v="1.2"/>
        <n v="0.8"/>
        <n v="1.8"/>
        <n v="2.6"/>
        <n v="3.2"/>
        <n v="3.8"/>
        <n v="5.0999999999999996"/>
        <n v="4.2"/>
        <n v="5.8"/>
        <n v="6.4"/>
        <n v="-1.6"/>
        <n v="3.9"/>
        <n v="2"/>
      </sharedItems>
    </cacheField>
    <cacheField name="Inflation_Rate_Percent" numFmtId="0">
      <sharedItems containsSemiMixedTypes="0" containsString="0" containsNumber="1" minValue="-0.4" maxValue="211.4" count="30">
        <n v="2.9"/>
        <n v="0.8"/>
        <n v="2.8"/>
        <n v="2.2000000000000002"/>
        <n v="2"/>
        <n v="2.2999999999999998"/>
        <n v="4.9000000000000004"/>
        <n v="4.5"/>
        <n v="3.8"/>
        <n v="2.4"/>
        <n v="7.4"/>
        <n v="4.7"/>
        <n v="1"/>
        <n v="3.2"/>
        <n v="1.1000000000000001"/>
        <n v="1.4"/>
        <n v="1.9"/>
        <n v="3.1"/>
        <n v="1.7"/>
        <n v="1.8"/>
        <n v="2.1"/>
        <n v="0.4"/>
        <n v="3.7"/>
        <n v="4.0999999999999996"/>
        <n v="64.8"/>
        <n v="33.1"/>
        <n v="21.8"/>
        <n v="211.4"/>
        <n v="7.2"/>
        <n v="-0.4"/>
      </sharedItems>
    </cacheField>
    <cacheField name="Interest_Rate_Percent" numFmtId="0">
      <sharedItems containsSemiMixedTypes="0" containsString="0" containsNumber="1" minValue="-0.1" maxValue="133" count="26">
        <n v="5.5"/>
        <n v="3.1"/>
        <n v="-0.1"/>
        <n v="4.5"/>
        <n v="5.25"/>
        <n v="6.5"/>
        <n v="4.75"/>
        <n v="10.75"/>
        <n v="4.3499999999999996"/>
        <n v="3.5"/>
        <n v="16"/>
        <n v="11"/>
        <n v="1.25"/>
        <n v="3.75"/>
        <n v="3.6"/>
        <n v="5.75"/>
        <n v="1.5"/>
        <n v="6"/>
        <n v="2.5"/>
        <n v="3"/>
        <n v="50"/>
        <n v="8.25"/>
        <n v="27.25"/>
        <n v="18.75"/>
        <n v="133"/>
        <n v="5.4"/>
      </sharedItems>
    </cacheField>
    <cacheField name="Unemployment_Rate_Percent" numFmtId="0">
      <sharedItems containsSemiMixedTypes="0" containsString="0" containsNumber="1" minValue="1.2" maxValue="28.7" count="30">
        <n v="3.7"/>
        <n v="5.2"/>
        <n v="2.4"/>
        <n v="3.1"/>
        <n v="4.2"/>
        <n v="7.4"/>
        <n v="3.2"/>
        <n v="6.1"/>
        <n v="7.8"/>
        <n v="4.0999999999999996"/>
        <n v="2.9"/>
        <n v="3.4"/>
        <n v="2.8"/>
        <n v="7.6"/>
        <n v="11.5"/>
        <n v="3.6"/>
        <n v="5.0999999999999996"/>
        <n v="2.1"/>
        <n v="5.4"/>
        <n v="1.2"/>
        <n v="5.9"/>
        <n v="12.3"/>
        <n v="10.5"/>
        <n v="28.7"/>
        <n v="7.2"/>
        <n v="8.8000000000000007"/>
        <n v="6.2"/>
        <n v="10.199999999999999"/>
        <n v="6.4"/>
        <n v="5.8"/>
      </sharedItems>
    </cacheField>
    <cacheField name="Currency_Code" numFmtId="0">
      <sharedItems/>
    </cacheField>
    <cacheField name="Exchange_Rate_USD" numFmtId="0">
      <sharedItems containsSemiMixedTypes="0" containsString="0" containsNumber="1" minValue="0.78" maxValue="24789"/>
    </cacheField>
    <cacheField name="Currency_Change_YTD_Percent" numFmtId="0">
      <sharedItems containsSemiMixedTypes="0" containsString="0" containsNumber="1" minValue="-89.7" maxValue="6.2"/>
    </cacheField>
    <cacheField name="Government_Debt_GDP_Percent" numFmtId="0">
      <sharedItems containsSemiMixedTypes="0" containsString="0" containsNumber="1" minValue="0.1" maxValue="263.10000000000002"/>
    </cacheField>
    <cacheField name="Current_Account_Balance_Billion_USD" numFmtId="0">
      <sharedItems containsSemiMixedTypes="0" containsString="0" containsNumber="1" minValue="-695.2" maxValue="382.9"/>
    </cacheField>
    <cacheField name="FDI_Inflow_Billion_USD" numFmtId="0">
      <sharedItems containsSemiMixedTypes="0" containsString="0" containsNumber="1" minValue="2.2999999999999998" maxValue="456.8"/>
    </cacheField>
    <cacheField name="Commodity_Index" numFmtId="0">
      <sharedItems containsSemiMixedTypes="0" containsString="0" containsNumber="1" minValue="0.45" maxValue="1.18"/>
    </cacheField>
    <cacheField name="Oil_Price_USD_Barrel" numFmtId="0">
      <sharedItems containsSemiMixedTypes="0" containsString="0" containsNumber="1" minValue="77.849999999999994" maxValue="77.849999999999994"/>
    </cacheField>
    <cacheField name="Gold_Price_USD_Ounce" numFmtId="0">
      <sharedItems containsSemiMixedTypes="0" containsString="0" containsNumber="1" minValue="2487.5" maxValue="2487.5"/>
    </cacheField>
    <cacheField name="Bond_Yield_10Y_Percent" numFmtId="0">
      <sharedItems containsSemiMixedTypes="0" containsString="0" containsNumber="1" minValue="0.68" maxValue="89.45"/>
    </cacheField>
    <cacheField name="Credit_Rating" numFmtId="0">
      <sharedItems/>
    </cacheField>
    <cacheField name="Political_Risk_Score" numFmtId="0">
      <sharedItems containsSemiMixedTypes="0" containsString="0" containsNumber="1" minValue="2.1" maxValue="9.1"/>
    </cacheField>
    <cacheField name="Banking_Sector_Health" numFmtId="0">
      <sharedItems/>
    </cacheField>
    <cacheField name="Real_Estate_Index" numFmtId="0">
      <sharedItems containsSemiMixedTypes="0" containsString="0" containsNumber="1" minValue="34.5" maxValue="145.6"/>
    </cacheField>
    <cacheField name="Export_Growth_Percent" numFmtId="0">
      <sharedItems containsSemiMixedTypes="0" containsString="0" containsNumber="1" minValue="-12.3" maxValue="23.4"/>
    </cacheField>
    <cacheField name="Import_Growth_Percent" numFmtId="0">
      <sharedItems containsSemiMixedTypes="0" containsString="0" containsNumber="1" minValue="1.2" maxValue="34.5"/>
    </cacheField>
  </cacheFields>
  <calculatedItems count="1">
    <calculatedItem>
      <pivotArea cacheIndex="1" outline="0" fieldPosition="0">
        <references count="1">
          <reference field="0" count="1">
            <x v="39"/>
          </reference>
        </references>
      </pivotArea>
    </calculatedItem>
  </calculatedItems>
  <extLst>
    <ext xmlns:x14="http://schemas.microsoft.com/office/spreadsheetml/2009/9/main" uri="{725AE2AE-9491-48be-B2B4-4EB974FC3084}">
      <x14:pivotCacheDefinition pivotCacheId="3322563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iya u" refreshedDate="45919.538535532411" createdVersion="8" refreshedVersion="8" minRefreshableVersion="3" recordCount="40" xr:uid="{9B27F3A3-A111-4429-84DD-D8353DEDFD70}">
  <cacheSource type="worksheet">
    <worksheetSource ref="A1:Z1048576" sheet="Global finance data"/>
  </cacheSource>
  <cacheFields count="26">
    <cacheField name="Country" numFmtId="0">
      <sharedItems containsBlank="1" count="40">
        <s v="United States"/>
        <s v="China"/>
        <s v="Japan"/>
        <s v="Germany"/>
        <s v="United Kingdom"/>
        <s v="France"/>
        <s v="India"/>
        <s v="Canada"/>
        <s v="Brazil"/>
        <s v="Australia"/>
        <s v="South Korea"/>
        <s v="Russia"/>
        <s v="Mexico"/>
        <s v="Italy"/>
        <s v="Spain"/>
        <s v="Netherlands"/>
        <s v="Switzerland"/>
        <s v="Sweden"/>
        <s v="Norway"/>
        <s v="Denmark"/>
        <s v="Singapore"/>
        <s v="Hong Kong"/>
        <s v="Taiwan"/>
        <s v="Indonesia"/>
        <s v="Thailand"/>
        <s v="Malaysia"/>
        <s v="Philippines"/>
        <s v="Vietnam"/>
        <s v="Turkey"/>
        <s v="South Africa"/>
        <s v="Egypt"/>
        <s v="Nigeria"/>
        <s v="Chile"/>
        <s v="Argentina"/>
        <s v="Colombia"/>
        <s v="Peru"/>
        <s v="UAE"/>
        <s v="Saudi Arabia"/>
        <s v="Israel"/>
        <m/>
      </sharedItems>
    </cacheField>
    <cacheField name="Date" numFmtId="0">
      <sharedItems containsNonDate="0" containsDate="1" containsString="0" containsBlank="1" minDate="2024-08-15T00:00:00" maxDate="2024-08-16T00:00:00" count="2">
        <d v="2024-08-15T00:00:00"/>
        <m/>
      </sharedItems>
    </cacheField>
    <cacheField name="Stock_Index" numFmtId="0">
      <sharedItems containsBlank="1"/>
    </cacheField>
    <cacheField name="Index_Value" numFmtId="0">
      <sharedItems containsString="0" containsBlank="1" containsNumber="1" minValue="889.3" maxValue="1567890.2"/>
    </cacheField>
    <cacheField name="Daily_Change_Percent" numFmtId="0">
      <sharedItems containsString="0" containsBlank="1" containsNumber="1" minValue="-1.23" maxValue="3.45"/>
    </cacheField>
    <cacheField name="Market_Cap_Trillion_USD" numFmtId="0">
      <sharedItems containsString="0" containsBlank="1" containsNumber="1" minValue="0.03" maxValue="51.2"/>
    </cacheField>
    <cacheField name="GDP_Growth_Rate_Percent" numFmtId="0">
      <sharedItems containsString="0" containsBlank="1" containsNumber="1" minValue="-1.9" maxValue="6.8"/>
    </cacheField>
    <cacheField name="Inflation_Rate_Percent" numFmtId="0">
      <sharedItems containsString="0" containsBlank="1" containsNumber="1" minValue="-0.4" maxValue="211.4"/>
    </cacheField>
    <cacheField name="Interest_Rate_Percent" numFmtId="0">
      <sharedItems containsString="0" containsBlank="1" containsNumber="1" minValue="-0.1" maxValue="133"/>
    </cacheField>
    <cacheField name="Unemployment_Rate_Percent" numFmtId="0">
      <sharedItems containsString="0" containsBlank="1" containsNumber="1" minValue="1.2" maxValue="28.7"/>
    </cacheField>
    <cacheField name="Currency_Code" numFmtId="0">
      <sharedItems containsBlank="1"/>
    </cacheField>
    <cacheField name="Exchange_Rate_USD" numFmtId="0">
      <sharedItems containsString="0" containsBlank="1" containsNumber="1" minValue="0.78" maxValue="24789"/>
    </cacheField>
    <cacheField name="Currency_Change_YTD_Percent" numFmtId="0">
      <sharedItems containsString="0" containsBlank="1" containsNumber="1" minValue="-89.7" maxValue="6.2"/>
    </cacheField>
    <cacheField name="Government_Debt_GDP_Percent" numFmtId="0">
      <sharedItems containsString="0" containsBlank="1" containsNumber="1" minValue="0.1" maxValue="263.10000000000002"/>
    </cacheField>
    <cacheField name="Current_Account_Balance_Billion_USD" numFmtId="0">
      <sharedItems containsString="0" containsBlank="1" containsNumber="1" minValue="-695.2" maxValue="382.9"/>
    </cacheField>
    <cacheField name="FDI_Inflow_Billion_USD" numFmtId="0">
      <sharedItems containsString="0" containsBlank="1" containsNumber="1" minValue="2.2999999999999998" maxValue="456.8"/>
    </cacheField>
    <cacheField name="Commodity_Index" numFmtId="0">
      <sharedItems containsString="0" containsBlank="1" containsNumber="1" minValue="0.45" maxValue="1.18"/>
    </cacheField>
    <cacheField name="Oil_Price_USD_Barrel" numFmtId="0">
      <sharedItems containsString="0" containsBlank="1" containsNumber="1" minValue="77.849999999999994" maxValue="77.849999999999994"/>
    </cacheField>
    <cacheField name="Gold_Price_USD_Ounce" numFmtId="0">
      <sharedItems containsString="0" containsBlank="1" containsNumber="1" minValue="2487.5" maxValue="2487.5"/>
    </cacheField>
    <cacheField name="Bond_Yield_10Y_Percent" numFmtId="0">
      <sharedItems containsString="0" containsBlank="1" containsNumber="1" minValue="0.68" maxValue="89.45"/>
    </cacheField>
    <cacheField name="Credit_Rating" numFmtId="0">
      <sharedItems containsBlank="1" count="15">
        <s v="AAA"/>
        <s v="A+"/>
        <s v="AA"/>
        <s v="BBB-"/>
        <s v="BB-"/>
        <s v="BB+"/>
        <s v="BBB"/>
        <s v="A"/>
        <s v="AA+"/>
        <s v="BBB+"/>
        <s v="A-"/>
        <s v="B+"/>
        <s v="B-"/>
        <s v="CCC+"/>
        <m/>
      </sharedItems>
    </cacheField>
    <cacheField name="Political_Risk_Score" numFmtId="0">
      <sharedItems containsString="0" containsBlank="1" containsNumber="1" minValue="2.1" maxValue="9.1"/>
    </cacheField>
    <cacheField name="Banking_Sector_Health" numFmtId="0">
      <sharedItems containsBlank="1" count="4">
        <s v="Strong"/>
        <s v="Moderate"/>
        <s v="Weak"/>
        <m/>
      </sharedItems>
    </cacheField>
    <cacheField name="Real_Estate_Index" numFmtId="0">
      <sharedItems containsString="0" containsBlank="1" containsNumber="1" minValue="34.5" maxValue="145.6"/>
    </cacheField>
    <cacheField name="Export_Growth_Percent" numFmtId="0">
      <sharedItems containsString="0" containsBlank="1" containsNumber="1" minValue="-12.3" maxValue="23.4"/>
    </cacheField>
    <cacheField name="Import_Growth_Percent" numFmtId="0">
      <sharedItems containsString="0" containsBlank="1" containsNumber="1" minValue="1.2" maxValue="34.5"/>
    </cacheField>
  </cacheFields>
  <extLst>
    <ext xmlns:x14="http://schemas.microsoft.com/office/spreadsheetml/2009/9/main" uri="{725AE2AE-9491-48be-B2B4-4EB974FC3084}">
      <x14:pivotCacheDefinition pivotCacheId="1003300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001"/>
    <x v="0"/>
    <m/>
  </r>
  <r>
    <n v="1002"/>
    <x v="1"/>
    <m/>
  </r>
  <r>
    <n v="1003"/>
    <x v="2"/>
    <m/>
  </r>
  <r>
    <n v="1004"/>
    <x v="3"/>
    <m/>
  </r>
  <r>
    <n v="1005"/>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d v="2024-08-15T00:00:00"/>
    <x v="0"/>
    <n v="5437.2"/>
    <n v="0.34"/>
    <n v="51.2"/>
    <n v="2.8"/>
    <n v="2.9"/>
    <n v="5.5"/>
    <n v="3.7"/>
    <s v="USD"/>
    <n v="1"/>
    <n v="0"/>
    <n v="126.4"/>
    <n v="-695.2"/>
    <n v="456.8"/>
    <n v="1.1200000000000001"/>
    <n v="77.849999999999994"/>
    <n v="2487.5"/>
    <n v="4.25"/>
    <s v="AAA"/>
    <n v="8.1"/>
    <s v="Strong"/>
    <n v="145.6"/>
    <n v="3.2"/>
    <n v="2.8"/>
    <m/>
    <m/>
  </r>
  <r>
    <x v="1"/>
    <d v="2024-08-15T00:00:00"/>
    <x v="1"/>
    <n v="2891.6"/>
    <n v="-0.82"/>
    <n v="12.4"/>
    <n v="5.2"/>
    <n v="0.8"/>
    <n v="3.1"/>
    <n v="5.2"/>
    <s v="CNY"/>
    <n v="7.28"/>
    <n v="2.2999999999999998"/>
    <n v="77.099999999999994"/>
    <n v="382.9"/>
    <n v="189.7"/>
    <n v="0.98"/>
    <n v="77.849999999999994"/>
    <n v="2487.5"/>
    <n v="2.15"/>
    <s v="A+"/>
    <n v="6.7"/>
    <s v="Moderate"/>
    <n v="98.7"/>
    <n v="8.9"/>
    <n v="6.1"/>
    <m/>
    <m/>
  </r>
  <r>
    <x v="2"/>
    <d v="2024-08-15T00:00:00"/>
    <x v="2"/>
    <n v="36789.1"/>
    <n v="1.24"/>
    <n v="6.8"/>
    <n v="0.9"/>
    <n v="2.8"/>
    <n v="-0.1"/>
    <n v="2.4"/>
    <s v="JPY"/>
    <n v="147.19999999999999"/>
    <n v="-8.9"/>
    <n v="263.10000000000002"/>
    <n v="49.7"/>
    <n v="23.4"/>
    <n v="1.05"/>
    <n v="77.849999999999994"/>
    <n v="2487.5"/>
    <n v="0.89"/>
    <s v="A+"/>
    <n v="8.4"/>
    <s v="Strong"/>
    <n v="89.3"/>
    <n v="5.0999999999999996"/>
    <n v="4.7"/>
    <m/>
    <m/>
  </r>
  <r>
    <x v="3"/>
    <d v="2024-08-15T00:00:00"/>
    <x v="3"/>
    <n v="18234.5"/>
    <n v="0.67"/>
    <n v="2.9"/>
    <n v="0.3"/>
    <n v="2.2000000000000002"/>
    <n v="4.5"/>
    <n v="3.1"/>
    <s v="EUR"/>
    <n v="0.92"/>
    <n v="1.8"/>
    <n v="66.3"/>
    <n v="297.39999999999998"/>
    <n v="67.8"/>
    <n v="1.08"/>
    <n v="77.849999999999994"/>
    <n v="2487.5"/>
    <n v="2.31"/>
    <s v="AAA"/>
    <n v="8.6999999999999993"/>
    <s v="Strong"/>
    <n v="112.4"/>
    <n v="2.1"/>
    <n v="1.8"/>
    <m/>
    <m/>
  </r>
  <r>
    <x v="4"/>
    <d v="2024-08-15T00:00:00"/>
    <x v="4"/>
    <n v="8156.3"/>
    <n v="-0.15"/>
    <n v="3.1"/>
    <n v="1.1000000000000001"/>
    <n v="2"/>
    <n v="5.25"/>
    <n v="4.2"/>
    <s v="GBP"/>
    <n v="0.78"/>
    <n v="-0.9"/>
    <n v="101.2"/>
    <n v="-85.6"/>
    <n v="45.2"/>
    <n v="1.06"/>
    <n v="77.849999999999994"/>
    <n v="2487.5"/>
    <n v="3.89"/>
    <s v="AA"/>
    <n v="7.9"/>
    <s v="Moderate"/>
    <n v="97.8"/>
    <n v="0.9"/>
    <n v="1.2"/>
    <m/>
    <m/>
  </r>
  <r>
    <x v="5"/>
    <d v="2024-08-15T00:00:00"/>
    <x v="5"/>
    <n v="7389.2"/>
    <n v="0.28000000000000003"/>
    <n v="3"/>
    <n v="1.3"/>
    <n v="2.2999999999999998"/>
    <n v="4.5"/>
    <n v="7.4"/>
    <s v="EUR"/>
    <n v="0.92"/>
    <n v="1.8"/>
    <n v="111.8"/>
    <n v="-22.1"/>
    <n v="56.7"/>
    <n v="1.08"/>
    <n v="77.849999999999994"/>
    <n v="2487.5"/>
    <n v="2.95"/>
    <s v="AA"/>
    <n v="7.3"/>
    <s v="Moderate"/>
    <n v="103.2"/>
    <n v="1.8"/>
    <n v="2.1"/>
    <m/>
    <m/>
  </r>
  <r>
    <x v="6"/>
    <d v="2024-08-15T00:00:00"/>
    <x v="6"/>
    <n v="80456.7"/>
    <n v="0.89"/>
    <n v="4.3"/>
    <n v="6.8"/>
    <n v="4.9000000000000004"/>
    <n v="6.5"/>
    <n v="3.2"/>
    <s v="INR"/>
    <n v="83.7"/>
    <n v="-0.5"/>
    <n v="84.2"/>
    <n v="-23.1"/>
    <n v="67.400000000000006"/>
    <n v="1.1499999999999999"/>
    <n v="77.849999999999994"/>
    <n v="2487.5"/>
    <n v="7.04"/>
    <s v="BBB-"/>
    <n v="6.8"/>
    <s v="Moderate"/>
    <n v="134.80000000000001"/>
    <n v="13.2"/>
    <n v="10.9"/>
    <m/>
    <m/>
  </r>
  <r>
    <x v="7"/>
    <d v="2024-08-15T00:00:00"/>
    <x v="7"/>
    <n v="22567.8"/>
    <n v="0.45"/>
    <n v="2.8"/>
    <n v="2.9"/>
    <n v="2.8"/>
    <n v="4.75"/>
    <n v="6.1"/>
    <s v="CAD"/>
    <n v="1.37"/>
    <n v="4.2"/>
    <n v="106.7"/>
    <n v="12.8"/>
    <n v="34.5"/>
    <n v="1.0900000000000001"/>
    <n v="77.849999999999994"/>
    <n v="2487.5"/>
    <n v="3.42"/>
    <s v="AAA"/>
    <n v="8.9"/>
    <s v="Strong"/>
    <n v="126.7"/>
    <n v="4.0999999999999996"/>
    <n v="3.8"/>
    <m/>
    <m/>
  </r>
  <r>
    <x v="8"/>
    <d v="2024-08-15T00:00:00"/>
    <x v="8"/>
    <n v="129834.2"/>
    <n v="1.67"/>
    <n v="1.4"/>
    <n v="2.1"/>
    <n v="4.5"/>
    <n v="10.75"/>
    <n v="7.8"/>
    <s v="BRL"/>
    <n v="5.47"/>
    <n v="-8.9"/>
    <n v="87.7"/>
    <n v="-46.9"/>
    <n v="67.2"/>
    <n v="0.95"/>
    <n v="77.849999999999994"/>
    <n v="2487.5"/>
    <n v="10.84"/>
    <s v="BB-"/>
    <n v="5.4"/>
    <s v="Weak"/>
    <n v="89.3"/>
    <n v="8.6999999999999993"/>
    <n v="6.9"/>
    <m/>
    <m/>
  </r>
  <r>
    <x v="9"/>
    <d v="2024-08-15T00:00:00"/>
    <x v="9"/>
    <n v="7923.4"/>
    <n v="0.22"/>
    <n v="1.8"/>
    <n v="1.7"/>
    <n v="3.8"/>
    <n v="4.3499999999999996"/>
    <n v="4.0999999999999996"/>
    <s v="AUD"/>
    <n v="1.52"/>
    <n v="5.6"/>
    <n v="45.1"/>
    <n v="67.8"/>
    <n v="45.7"/>
    <n v="1.1100000000000001"/>
    <n v="77.849999999999994"/>
    <n v="2487.5"/>
    <n v="4.07"/>
    <s v="AAA"/>
    <n v="8.6"/>
    <s v="Strong"/>
    <n v="118.9"/>
    <n v="6.2"/>
    <n v="5.4"/>
    <m/>
    <m/>
  </r>
  <r>
    <x v="10"/>
    <d v="2024-08-15T00:00:00"/>
    <x v="10"/>
    <n v="2634.5"/>
    <n v="-0.34"/>
    <n v="1.9"/>
    <n v="3.1"/>
    <n v="2.4"/>
    <n v="3.5"/>
    <n v="2.9"/>
    <s v="KRW"/>
    <n v="1342.5"/>
    <n v="-2.1"/>
    <n v="54.6"/>
    <n v="67.400000000000006"/>
    <n v="12.8"/>
    <n v="1.02"/>
    <n v="77.849999999999994"/>
    <n v="2487.5"/>
    <n v="3.28"/>
    <s v="AA"/>
    <n v="7.8"/>
    <s v="Strong"/>
    <n v="95.6"/>
    <n v="9.1"/>
    <n v="7.8"/>
    <m/>
    <m/>
  </r>
  <r>
    <x v="11"/>
    <d v="2024-08-15T00:00:00"/>
    <x v="11"/>
    <n v="2789.1"/>
    <n v="0.78"/>
    <n v="0.6"/>
    <n v="-1.9"/>
    <n v="7.4"/>
    <n v="16"/>
    <n v="3.4"/>
    <s v="RUB"/>
    <n v="91.2"/>
    <n v="-15.6"/>
    <n v="21.4"/>
    <n v="67.8"/>
    <n v="8.9"/>
    <n v="0.87"/>
    <n v="77.849999999999994"/>
    <n v="2487.5"/>
    <n v="12.45"/>
    <s v="BB+"/>
    <n v="3.2"/>
    <s v="Weak"/>
    <n v="67.400000000000006"/>
    <n v="15.2"/>
    <n v="18.7"/>
    <m/>
    <m/>
  </r>
  <r>
    <x v="12"/>
    <d v="2024-08-15T00:00:00"/>
    <x v="12"/>
    <n v="55234.6"/>
    <n v="0.91"/>
    <n v="0.7"/>
    <n v="2.4"/>
    <n v="4.7"/>
    <n v="11"/>
    <n v="2.8"/>
    <s v="MXN"/>
    <n v="19.8"/>
    <n v="-10.199999999999999"/>
    <n v="54.7"/>
    <n v="-12.4"/>
    <n v="34.700000000000003"/>
    <n v="0.89"/>
    <n v="77.849999999999994"/>
    <n v="2487.5"/>
    <n v="9.1199999999999992"/>
    <s v="BBB"/>
    <n v="6.1"/>
    <s v="Moderate"/>
    <n v="102.3"/>
    <n v="7.9"/>
    <n v="8.1999999999999993"/>
    <m/>
    <m/>
  </r>
  <r>
    <x v="13"/>
    <d v="2024-08-15T00:00:00"/>
    <x v="13"/>
    <n v="33456.699999999997"/>
    <n v="0.34"/>
    <n v="0.9"/>
    <n v="0.7"/>
    <n v="1"/>
    <n v="4.5"/>
    <n v="7.6"/>
    <s v="EUR"/>
    <n v="0.92"/>
    <n v="1.8"/>
    <n v="144.4"/>
    <n v="-56.7"/>
    <n v="28.9"/>
    <n v="1.08"/>
    <n v="77.849999999999994"/>
    <n v="2487.5"/>
    <n v="3.67"/>
    <s v="BBB"/>
    <n v="7.1"/>
    <s v="Moderate"/>
    <n v="89.7"/>
    <n v="3.2"/>
    <n v="2.9"/>
    <m/>
    <m/>
  </r>
  <r>
    <x v="14"/>
    <d v="2024-08-15T00:00:00"/>
    <x v="14"/>
    <n v="11123.8"/>
    <n v="0.67"/>
    <n v="0.8"/>
    <n v="2.5"/>
    <n v="3.2"/>
    <n v="4.5"/>
    <n v="11.5"/>
    <s v="EUR"/>
    <n v="0.92"/>
    <n v="1.8"/>
    <n v="107.7"/>
    <n v="23.4"/>
    <n v="45.6"/>
    <n v="1.08"/>
    <n v="77.849999999999994"/>
    <n v="2487.5"/>
    <n v="3.21"/>
    <s v="A"/>
    <n v="7.8"/>
    <s v="Moderate"/>
    <n v="98.3"/>
    <n v="4.0999999999999996"/>
    <n v="3.7"/>
    <m/>
    <m/>
  </r>
  <r>
    <x v="15"/>
    <d v="2024-08-15T00:00:00"/>
    <x v="15"/>
    <n v="889.3"/>
    <n v="0.12"/>
    <n v="1.1000000000000001"/>
    <n v="0.6"/>
    <n v="1.1000000000000001"/>
    <n v="4.5"/>
    <n v="3.6"/>
    <s v="EUR"/>
    <n v="0.92"/>
    <n v="1.8"/>
    <n v="52.4"/>
    <n v="89.7"/>
    <n v="78.900000000000006"/>
    <n v="1.08"/>
    <n v="77.849999999999994"/>
    <n v="2487.5"/>
    <n v="2.78"/>
    <s v="AAA"/>
    <n v="8.8000000000000007"/>
    <s v="Strong"/>
    <n v="134.5"/>
    <n v="2.8"/>
    <n v="2.4"/>
    <m/>
    <m/>
  </r>
  <r>
    <x v="16"/>
    <d v="2024-08-15T00:00:00"/>
    <x v="16"/>
    <n v="12234.5"/>
    <n v="0.28000000000000003"/>
    <n v="1.8"/>
    <n v="1.2"/>
    <n v="1.4"/>
    <n v="1.25"/>
    <n v="2.4"/>
    <s v="CHF"/>
    <n v="0.87"/>
    <n v="6.2"/>
    <n v="41"/>
    <n v="67.8"/>
    <n v="23.4"/>
    <n v="1.1299999999999999"/>
    <n v="77.849999999999994"/>
    <n v="2487.5"/>
    <n v="0.68"/>
    <s v="AAA"/>
    <n v="9.1"/>
    <s v="Strong"/>
    <n v="142.6"/>
    <n v="1.9"/>
    <n v="2.1"/>
    <m/>
    <m/>
  </r>
  <r>
    <x v="17"/>
    <d v="2024-08-15T00:00:00"/>
    <x v="17"/>
    <n v="2567.8000000000002"/>
    <n v="0.45"/>
    <n v="0.7"/>
    <n v="0.8"/>
    <n v="1.9"/>
    <n v="3.75"/>
    <n v="7.8"/>
    <s v="SEK"/>
    <n v="10.9"/>
    <n v="-4.7"/>
    <n v="35.1"/>
    <n v="34.5"/>
    <n v="12.8"/>
    <n v="1.07"/>
    <n v="77.849999999999994"/>
    <n v="2487.5"/>
    <n v="2.34"/>
    <s v="AAA"/>
    <n v="8.9"/>
    <s v="Strong"/>
    <n v="119.8"/>
    <n v="3.4"/>
    <n v="2.9"/>
    <m/>
    <m/>
  </r>
  <r>
    <x v="18"/>
    <d v="2024-08-15T00:00:00"/>
    <x v="18"/>
    <n v="1345.6"/>
    <n v="0.67"/>
    <n v="0.4"/>
    <n v="2.1"/>
    <n v="3.1"/>
    <n v="4.5"/>
    <n v="3.4"/>
    <s v="NOK"/>
    <n v="11.2"/>
    <n v="2.8"/>
    <n v="45.7"/>
    <n v="78.900000000000006"/>
    <n v="8.9"/>
    <n v="1.1399999999999999"/>
    <n v="77.849999999999994"/>
    <n v="2487.5"/>
    <n v="3.12"/>
    <s v="AAA"/>
    <n v="9"/>
    <s v="Strong"/>
    <n v="127.3"/>
    <n v="8.9"/>
    <n v="6.7"/>
    <m/>
    <m/>
  </r>
  <r>
    <x v="19"/>
    <d v="2024-08-15T00:00:00"/>
    <x v="19"/>
    <n v="2234.5"/>
    <n v="0.23"/>
    <n v="0.4"/>
    <n v="1.8"/>
    <n v="1.7"/>
    <n v="3.6"/>
    <n v="5.0999999999999996"/>
    <s v="DKK"/>
    <n v="6.86"/>
    <n v="1.9"/>
    <n v="29.8"/>
    <n v="23.4"/>
    <n v="5.6"/>
    <n v="1.08"/>
    <n v="77.849999999999994"/>
    <n v="2487.5"/>
    <n v="2.4500000000000002"/>
    <s v="AAA"/>
    <n v="8.9"/>
    <s v="Strong"/>
    <n v="124.7"/>
    <n v="2.1"/>
    <n v="1.8"/>
    <m/>
    <m/>
  </r>
  <r>
    <x v="20"/>
    <d v="2024-08-15T00:00:00"/>
    <x v="20"/>
    <n v="3456.7"/>
    <n v="0.56000000000000005"/>
    <n v="0.8"/>
    <n v="2.6"/>
    <n v="2.4"/>
    <n v="3.5"/>
    <n v="2.1"/>
    <s v="SGD"/>
    <n v="1.35"/>
    <n v="1.2"/>
    <n v="130.1"/>
    <n v="67.8"/>
    <n v="89.7"/>
    <n v="1.0900000000000001"/>
    <n v="77.849999999999994"/>
    <n v="2487.5"/>
    <n v="3.18"/>
    <s v="AAA"/>
    <n v="8.6999999999999993"/>
    <s v="Strong"/>
    <n v="98.9"/>
    <n v="12.4"/>
    <n v="11.7"/>
    <m/>
    <m/>
  </r>
  <r>
    <x v="21"/>
    <d v="2024-08-15T00:00:00"/>
    <x v="21"/>
    <n v="17234.5"/>
    <n v="-1.23"/>
    <n v="4.2"/>
    <n v="3.2"/>
    <n v="1.8"/>
    <n v="5.75"/>
    <n v="2.8"/>
    <s v="HKD"/>
    <n v="7.82"/>
    <n v="0.1"/>
    <n v="0.1"/>
    <n v="34.5"/>
    <n v="67.8"/>
    <n v="0.98"/>
    <n v="77.849999999999994"/>
    <n v="2487.5"/>
    <n v="3.89"/>
    <s v="AA+"/>
    <n v="7.2"/>
    <s v="Moderate"/>
    <n v="87.6"/>
    <n v="6.7"/>
    <n v="5.9"/>
    <m/>
    <m/>
  </r>
  <r>
    <x v="22"/>
    <d v="2024-08-15T00:00:00"/>
    <x v="22"/>
    <n v="22567.8"/>
    <n v="0.78"/>
    <n v="2.1"/>
    <n v="3.8"/>
    <n v="2.1"/>
    <n v="1.5"/>
    <n v="3.7"/>
    <s v="TWD"/>
    <n v="32.1"/>
    <n v="-1.8"/>
    <n v="28.7"/>
    <n v="89.7"/>
    <n v="12.3"/>
    <n v="1.04"/>
    <n v="77.849999999999994"/>
    <n v="2487.5"/>
    <n v="1.23"/>
    <s v="AA"/>
    <n v="8.1"/>
    <s v="Strong"/>
    <n v="112.4"/>
    <n v="15.2"/>
    <n v="13.8"/>
    <m/>
    <m/>
  </r>
  <r>
    <x v="23"/>
    <d v="2024-08-15T00:00:00"/>
    <x v="23"/>
    <n v="7234.5"/>
    <n v="0.45"/>
    <n v="0.7"/>
    <n v="5.0999999999999996"/>
    <n v="2.8"/>
    <n v="6"/>
    <n v="5.4"/>
    <s v="IDR"/>
    <n v="15487"/>
    <n v="-2.2999999999999998"/>
    <n v="39.799999999999997"/>
    <n v="-12.1"/>
    <n v="23.4"/>
    <n v="0.94"/>
    <n v="77.849999999999994"/>
    <n v="2487.5"/>
    <n v="7.12"/>
    <s v="BBB"/>
    <n v="6.5"/>
    <s v="Moderate"/>
    <n v="89.7"/>
    <n v="8.9"/>
    <n v="7.3"/>
    <m/>
    <m/>
  </r>
  <r>
    <x v="24"/>
    <d v="2024-08-15T00:00:00"/>
    <x v="24"/>
    <n v="1567.8"/>
    <n v="0.34"/>
    <n v="0.6"/>
    <n v="2.9"/>
    <n v="0.4"/>
    <n v="2.5"/>
    <n v="1.2"/>
    <s v="THB"/>
    <n v="36.200000000000003"/>
    <n v="3.4"/>
    <n v="61.4"/>
    <n v="12.8"/>
    <n v="8.9"/>
    <n v="0.97"/>
    <n v="77.849999999999994"/>
    <n v="2487.5"/>
    <n v="2.67"/>
    <s v="BBB+"/>
    <n v="7.1"/>
    <s v="Moderate"/>
    <n v="95.3"/>
    <n v="4.0999999999999996"/>
    <n v="3.8"/>
    <m/>
    <m/>
  </r>
  <r>
    <x v="25"/>
    <d v="2024-08-15T00:00:00"/>
    <x v="25"/>
    <n v="1634.5"/>
    <n v="0.67"/>
    <n v="0.5"/>
    <n v="4.2"/>
    <n v="2"/>
    <n v="3"/>
    <n v="3.4"/>
    <s v="MYR"/>
    <n v="4.67"/>
    <n v="-6.7"/>
    <n v="70.099999999999994"/>
    <n v="23.4"/>
    <n v="12.1"/>
    <n v="0.91"/>
    <n v="77.849999999999994"/>
    <n v="2487.5"/>
    <n v="3.78"/>
    <s v="A-"/>
    <n v="7.3"/>
    <s v="Moderate"/>
    <n v="87.9"/>
    <n v="6.7"/>
    <n v="5.9"/>
    <m/>
    <m/>
  </r>
  <r>
    <x v="26"/>
    <d v="2024-08-15T00:00:00"/>
    <x v="26"/>
    <n v="6789.1"/>
    <n v="0.89"/>
    <n v="0.3"/>
    <n v="5.8"/>
    <n v="3.7"/>
    <n v="6.5"/>
    <n v="5.9"/>
    <s v="PHP"/>
    <n v="56.3"/>
    <n v="-8.9"/>
    <n v="63.5"/>
    <n v="-8.9"/>
    <n v="9.8000000000000007"/>
    <n v="0.88"/>
    <n v="77.849999999999994"/>
    <n v="2487.5"/>
    <n v="6.45"/>
    <s v="BBB+"/>
    <n v="6.8"/>
    <s v="Moderate"/>
    <n v="78.900000000000006"/>
    <n v="8.1"/>
    <n v="7.4"/>
    <m/>
    <m/>
  </r>
  <r>
    <x v="27"/>
    <d v="2024-08-15T00:00:00"/>
    <x v="27"/>
    <n v="1234.5"/>
    <n v="1.23"/>
    <n v="0.3"/>
    <n v="6.4"/>
    <n v="4.0999999999999996"/>
    <n v="4.5"/>
    <n v="12.3"/>
    <s v="VND"/>
    <n v="24789"/>
    <n v="-3.4"/>
    <n v="43.1"/>
    <n v="12.8"/>
    <n v="15.6"/>
    <n v="0.85"/>
    <n v="77.849999999999994"/>
    <n v="2487.5"/>
    <n v="2.89"/>
    <s v="BB+"/>
    <n v="6.2"/>
    <s v="Moderate"/>
    <n v="123.4"/>
    <n v="12.8"/>
    <n v="14.2"/>
    <m/>
    <m/>
  </r>
  <r>
    <x v="28"/>
    <d v="2024-08-15T00:00:00"/>
    <x v="28"/>
    <n v="10567.8"/>
    <n v="2.34"/>
    <n v="0.3"/>
    <n v="3.1"/>
    <n v="64.8"/>
    <n v="50"/>
    <n v="10.5"/>
    <s v="TRY"/>
    <n v="33.700000000000003"/>
    <n v="-35.6"/>
    <n v="32.1"/>
    <n v="-45.6"/>
    <n v="12.8"/>
    <n v="0.76"/>
    <n v="77.849999999999994"/>
    <n v="2487.5"/>
    <n v="28.45"/>
    <s v="B+"/>
    <n v="4.8"/>
    <s v="Weak"/>
    <n v="67.8"/>
    <n v="3.4"/>
    <n v="8.9"/>
    <m/>
    <m/>
  </r>
  <r>
    <x v="29"/>
    <d v="2024-08-15T00:00:00"/>
    <x v="29"/>
    <n v="75234.600000000006"/>
    <n v="0.78"/>
    <n v="0.4"/>
    <n v="0.9"/>
    <n v="4.7"/>
    <n v="8.25"/>
    <n v="28.7"/>
    <s v="ZAR"/>
    <n v="18.2"/>
    <n v="-7.8"/>
    <n v="71.099999999999994"/>
    <n v="8.9"/>
    <n v="4.5"/>
    <n v="0.82"/>
    <n v="77.849999999999994"/>
    <n v="2487.5"/>
    <n v="11.78"/>
    <s v="BB-"/>
    <n v="5.9"/>
    <s v="Weak"/>
    <n v="89.3"/>
    <n v="2.1"/>
    <n v="1.8"/>
    <m/>
    <m/>
  </r>
  <r>
    <x v="30"/>
    <d v="2024-08-15T00:00:00"/>
    <x v="30"/>
    <n v="25678.9"/>
    <n v="1.45"/>
    <n v="0.03"/>
    <n v="2.8"/>
    <n v="33.1"/>
    <n v="27.25"/>
    <n v="7.2"/>
    <s v="EGP"/>
    <n v="30.9"/>
    <n v="-49.7"/>
    <n v="89.7"/>
    <n v="-18.899999999999999"/>
    <n v="8.9"/>
    <n v="0.71"/>
    <n v="77.849999999999994"/>
    <n v="2487.5"/>
    <n v="19.45"/>
    <s v="B+"/>
    <n v="4.2"/>
    <s v="Weak"/>
    <n v="56.7"/>
    <n v="12.3"/>
    <n v="23.4"/>
    <m/>
    <m/>
  </r>
  <r>
    <x v="31"/>
    <d v="2024-08-15T00:00:00"/>
    <x v="31"/>
    <n v="98765.4"/>
    <n v="2.1"/>
    <n v="0.04"/>
    <n v="3.2"/>
    <n v="21.8"/>
    <n v="18.75"/>
    <n v="5.0999999999999996"/>
    <s v="NGN"/>
    <n v="1567"/>
    <n v="-68.900000000000006"/>
    <n v="37.1"/>
    <n v="34.5"/>
    <n v="2.2999999999999998"/>
    <n v="0.68"/>
    <n v="77.849999999999994"/>
    <n v="2487.5"/>
    <n v="14.67"/>
    <s v="B-"/>
    <n v="3.8"/>
    <s v="Weak"/>
    <n v="78.900000000000006"/>
    <n v="23.4"/>
    <n v="34.5"/>
    <m/>
    <m/>
  </r>
  <r>
    <x v="32"/>
    <d v="2024-08-15T00:00:00"/>
    <x v="32"/>
    <n v="5678.9"/>
    <n v="0.67"/>
    <n v="0.2"/>
    <n v="2.4"/>
    <n v="4.0999999999999996"/>
    <n v="5.75"/>
    <n v="8.8000000000000007"/>
    <s v="CLP"/>
    <n v="967"/>
    <n v="-8.9"/>
    <n v="37.799999999999997"/>
    <n v="23.4"/>
    <n v="18.899999999999999"/>
    <n v="0.93"/>
    <n v="77.849999999999994"/>
    <n v="2487.5"/>
    <n v="5.89"/>
    <s v="A"/>
    <n v="7.8"/>
    <s v="Moderate"/>
    <n v="95.6"/>
    <n v="6.7"/>
    <n v="5.2"/>
    <m/>
    <m/>
  </r>
  <r>
    <x v="33"/>
    <d v="2024-08-15T00:00:00"/>
    <x v="33"/>
    <n v="1567890.2"/>
    <n v="3.45"/>
    <n v="0.05"/>
    <n v="-1.6"/>
    <n v="211.4"/>
    <n v="133"/>
    <n v="6.2"/>
    <s v="ARS"/>
    <n v="945"/>
    <n v="-89.7"/>
    <n v="78.900000000000006"/>
    <n v="-23.4"/>
    <n v="4.5"/>
    <n v="0.45"/>
    <n v="77.849999999999994"/>
    <n v="2487.5"/>
    <n v="89.45"/>
    <s v="CCC+"/>
    <n v="2.1"/>
    <s v="Weak"/>
    <n v="34.5"/>
    <n v="-12.3"/>
    <n v="15.6"/>
    <m/>
    <m/>
  </r>
  <r>
    <x v="34"/>
    <d v="2024-08-15T00:00:00"/>
    <x v="34"/>
    <n v="1234.5"/>
    <n v="0.89"/>
    <n v="0.1"/>
    <n v="1.2"/>
    <n v="7.2"/>
    <n v="10.75"/>
    <n v="10.199999999999999"/>
    <s v="COP"/>
    <n v="4134"/>
    <n v="-18.899999999999999"/>
    <n v="56.7"/>
    <n v="-12.1"/>
    <n v="12.8"/>
    <n v="0.78"/>
    <n v="77.849999999999994"/>
    <n v="2487.5"/>
    <n v="12.34"/>
    <s v="BB+"/>
    <n v="5.8"/>
    <s v="Moderate"/>
    <n v="87.3"/>
    <n v="8.9"/>
    <n v="7.1"/>
    <m/>
    <m/>
  </r>
  <r>
    <x v="35"/>
    <d v="2024-08-15T00:00:00"/>
    <x v="35"/>
    <n v="23456.7"/>
    <n v="1.1200000000000001"/>
    <n v="0.08"/>
    <n v="2.8"/>
    <n v="2.8"/>
    <n v="5.75"/>
    <n v="6.4"/>
    <s v="PEN"/>
    <n v="3.78"/>
    <n v="-6.7"/>
    <n v="34.200000000000003"/>
    <n v="8.9"/>
    <n v="6.7"/>
    <n v="0.91"/>
    <n v="77.849999999999994"/>
    <n v="2487.5"/>
    <n v="6.78"/>
    <s v="BBB+"/>
    <n v="6.7"/>
    <s v="Moderate"/>
    <n v="98.7"/>
    <n v="9.8000000000000007"/>
    <n v="8.1999999999999993"/>
    <m/>
    <m/>
  </r>
  <r>
    <x v="36"/>
    <d v="2024-08-15T00:00:00"/>
    <x v="36"/>
    <n v="9876.5"/>
    <n v="0.34"/>
    <n v="0.7"/>
    <n v="3.9"/>
    <n v="1.9"/>
    <n v="5.4"/>
    <n v="2.8"/>
    <s v="AED"/>
    <n v="3.67"/>
    <n v="0"/>
    <n v="34.5"/>
    <n v="67.8"/>
    <n v="23.4"/>
    <n v="1.06"/>
    <n v="77.849999999999994"/>
    <n v="2487.5"/>
    <n v="4.12"/>
    <s v="AA"/>
    <n v="8.1999999999999993"/>
    <s v="Strong"/>
    <n v="134.5"/>
    <n v="23.4"/>
    <n v="18.899999999999999"/>
    <m/>
    <m/>
  </r>
  <r>
    <x v="37"/>
    <d v="2024-08-15T00:00:00"/>
    <x v="37"/>
    <n v="12345.6"/>
    <n v="0.56000000000000005"/>
    <n v="2.8"/>
    <n v="1.1000000000000001"/>
    <n v="-0.4"/>
    <n v="6"/>
    <n v="5.8"/>
    <s v="SAR"/>
    <n v="3.75"/>
    <n v="0"/>
    <n v="26.7"/>
    <n v="34.5"/>
    <n v="8.9"/>
    <n v="1.18"/>
    <n v="77.849999999999994"/>
    <n v="2487.5"/>
    <n v="4.2300000000000004"/>
    <s v="A-"/>
    <n v="6.9"/>
    <s v="Moderate"/>
    <n v="98.7"/>
    <n v="12.3"/>
    <n v="8.9"/>
    <m/>
    <m/>
  </r>
  <r>
    <x v="38"/>
    <d v="2024-08-15T00:00:00"/>
    <x v="38"/>
    <n v="1987.3"/>
    <n v="-0.78"/>
    <n v="0.4"/>
    <n v="2"/>
    <n v="2.2999999999999998"/>
    <n v="4.75"/>
    <n v="3.4"/>
    <s v="ILS"/>
    <n v="3.68"/>
    <n v="-2.1"/>
    <n v="60.9"/>
    <n v="23.4"/>
    <n v="18.899999999999999"/>
    <n v="1.03"/>
    <n v="77.849999999999994"/>
    <n v="2487.5"/>
    <n v="4.5599999999999996"/>
    <s v="A+"/>
    <n v="6.8"/>
    <s v="Moderate"/>
    <n v="89.7"/>
    <n v="5.6"/>
    <n v="4.2"/>
    <m/>
    <m/>
  </r>
  <r>
    <x v="39"/>
    <m/>
    <x v="39"/>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d v="2024-08-15T00:00:00"/>
    <x v="0"/>
    <n v="5437.2"/>
    <x v="0"/>
    <n v="51.2"/>
    <x v="0"/>
    <x v="0"/>
    <x v="0"/>
    <x v="0"/>
    <s v="USD"/>
    <n v="1"/>
    <n v="0"/>
    <n v="126.4"/>
    <n v="-695.2"/>
    <n v="456.8"/>
    <n v="1.1200000000000001"/>
    <n v="77.849999999999994"/>
    <n v="2487.5"/>
    <n v="4.25"/>
    <s v="AAA"/>
    <n v="8.1"/>
    <s v="Strong"/>
    <n v="145.6"/>
    <n v="3.2"/>
    <n v="2.8"/>
  </r>
  <r>
    <x v="1"/>
    <d v="2024-08-15T00:00:00"/>
    <x v="1"/>
    <n v="2891.6"/>
    <x v="1"/>
    <n v="12.4"/>
    <x v="1"/>
    <x v="1"/>
    <x v="1"/>
    <x v="1"/>
    <s v="CNY"/>
    <n v="7.28"/>
    <n v="2.2999999999999998"/>
    <n v="77.099999999999994"/>
    <n v="382.9"/>
    <n v="189.7"/>
    <n v="0.98"/>
    <n v="77.849999999999994"/>
    <n v="2487.5"/>
    <n v="2.15"/>
    <s v="A+"/>
    <n v="6.7"/>
    <s v="Moderate"/>
    <n v="98.7"/>
    <n v="8.9"/>
    <n v="6.1"/>
  </r>
  <r>
    <x v="2"/>
    <d v="2024-08-15T00:00:00"/>
    <x v="2"/>
    <n v="36789.1"/>
    <x v="2"/>
    <n v="6.8"/>
    <x v="2"/>
    <x v="2"/>
    <x v="2"/>
    <x v="2"/>
    <s v="JPY"/>
    <n v="147.19999999999999"/>
    <n v="-8.9"/>
    <n v="263.10000000000002"/>
    <n v="49.7"/>
    <n v="23.4"/>
    <n v="1.05"/>
    <n v="77.849999999999994"/>
    <n v="2487.5"/>
    <n v="0.89"/>
    <s v="A+"/>
    <n v="8.4"/>
    <s v="Strong"/>
    <n v="89.3"/>
    <n v="5.0999999999999996"/>
    <n v="4.7"/>
  </r>
  <r>
    <x v="3"/>
    <d v="2024-08-15T00:00:00"/>
    <x v="3"/>
    <n v="18234.5"/>
    <x v="3"/>
    <n v="2.9"/>
    <x v="3"/>
    <x v="3"/>
    <x v="3"/>
    <x v="3"/>
    <s v="EUR"/>
    <n v="0.92"/>
    <n v="1.8"/>
    <n v="66.3"/>
    <n v="297.39999999999998"/>
    <n v="67.8"/>
    <n v="1.08"/>
    <n v="77.849999999999994"/>
    <n v="2487.5"/>
    <n v="2.31"/>
    <s v="AAA"/>
    <n v="8.6999999999999993"/>
    <s v="Strong"/>
    <n v="112.4"/>
    <n v="2.1"/>
    <n v="1.8"/>
  </r>
  <r>
    <x v="4"/>
    <d v="2024-08-15T00:00:00"/>
    <x v="4"/>
    <n v="8156.3"/>
    <x v="4"/>
    <n v="3.1"/>
    <x v="4"/>
    <x v="4"/>
    <x v="4"/>
    <x v="4"/>
    <s v="GBP"/>
    <n v="0.78"/>
    <n v="-0.9"/>
    <n v="101.2"/>
    <n v="-85.6"/>
    <n v="45.2"/>
    <n v="1.06"/>
    <n v="77.849999999999994"/>
    <n v="2487.5"/>
    <n v="3.89"/>
    <s v="AA"/>
    <n v="7.9"/>
    <s v="Moderate"/>
    <n v="97.8"/>
    <n v="0.9"/>
    <n v="1.2"/>
  </r>
  <r>
    <x v="5"/>
    <d v="2024-08-15T00:00:00"/>
    <x v="5"/>
    <n v="7389.2"/>
    <x v="5"/>
    <n v="3"/>
    <x v="5"/>
    <x v="5"/>
    <x v="3"/>
    <x v="5"/>
    <s v="EUR"/>
    <n v="0.92"/>
    <n v="1.8"/>
    <n v="111.8"/>
    <n v="-22.1"/>
    <n v="56.7"/>
    <n v="1.08"/>
    <n v="77.849999999999994"/>
    <n v="2487.5"/>
    <n v="2.95"/>
    <s v="AA"/>
    <n v="7.3"/>
    <s v="Moderate"/>
    <n v="103.2"/>
    <n v="1.8"/>
    <n v="2.1"/>
  </r>
  <r>
    <x v="6"/>
    <d v="2024-08-15T00:00:00"/>
    <x v="6"/>
    <n v="80456.7"/>
    <x v="6"/>
    <n v="4.3"/>
    <x v="6"/>
    <x v="6"/>
    <x v="5"/>
    <x v="6"/>
    <s v="INR"/>
    <n v="83.7"/>
    <n v="-0.5"/>
    <n v="84.2"/>
    <n v="-23.1"/>
    <n v="67.400000000000006"/>
    <n v="1.1499999999999999"/>
    <n v="77.849999999999994"/>
    <n v="2487.5"/>
    <n v="7.04"/>
    <s v="BBB-"/>
    <n v="6.8"/>
    <s v="Moderate"/>
    <n v="134.80000000000001"/>
    <n v="13.2"/>
    <n v="10.9"/>
  </r>
  <r>
    <x v="7"/>
    <d v="2024-08-15T00:00:00"/>
    <x v="7"/>
    <n v="22567.8"/>
    <x v="7"/>
    <n v="2.8"/>
    <x v="7"/>
    <x v="2"/>
    <x v="6"/>
    <x v="7"/>
    <s v="CAD"/>
    <n v="1.37"/>
    <n v="4.2"/>
    <n v="106.7"/>
    <n v="12.8"/>
    <n v="34.5"/>
    <n v="1.0900000000000001"/>
    <n v="77.849999999999994"/>
    <n v="2487.5"/>
    <n v="3.42"/>
    <s v="AAA"/>
    <n v="8.9"/>
    <s v="Strong"/>
    <n v="126.7"/>
    <n v="4.0999999999999996"/>
    <n v="3.8"/>
  </r>
  <r>
    <x v="8"/>
    <d v="2024-08-15T00:00:00"/>
    <x v="8"/>
    <n v="129834.2"/>
    <x v="8"/>
    <n v="1.4"/>
    <x v="8"/>
    <x v="7"/>
    <x v="7"/>
    <x v="8"/>
    <s v="BRL"/>
    <n v="5.47"/>
    <n v="-8.9"/>
    <n v="87.7"/>
    <n v="-46.9"/>
    <n v="67.2"/>
    <n v="0.95"/>
    <n v="77.849999999999994"/>
    <n v="2487.5"/>
    <n v="10.84"/>
    <s v="BB-"/>
    <n v="5.4"/>
    <s v="Weak"/>
    <n v="89.3"/>
    <n v="8.6999999999999993"/>
    <n v="6.9"/>
  </r>
  <r>
    <x v="9"/>
    <d v="2024-08-15T00:00:00"/>
    <x v="9"/>
    <n v="7923.4"/>
    <x v="9"/>
    <n v="1.8"/>
    <x v="9"/>
    <x v="8"/>
    <x v="8"/>
    <x v="9"/>
    <s v="AUD"/>
    <n v="1.52"/>
    <n v="5.6"/>
    <n v="45.1"/>
    <n v="67.8"/>
    <n v="45.7"/>
    <n v="1.1100000000000001"/>
    <n v="77.849999999999994"/>
    <n v="2487.5"/>
    <n v="4.07"/>
    <s v="AAA"/>
    <n v="8.6"/>
    <s v="Strong"/>
    <n v="118.9"/>
    <n v="6.2"/>
    <n v="5.4"/>
  </r>
  <r>
    <x v="10"/>
    <d v="2024-08-15T00:00:00"/>
    <x v="10"/>
    <n v="2634.5"/>
    <x v="10"/>
    <n v="1.9"/>
    <x v="10"/>
    <x v="9"/>
    <x v="9"/>
    <x v="10"/>
    <s v="KRW"/>
    <n v="1342.5"/>
    <n v="-2.1"/>
    <n v="54.6"/>
    <n v="67.400000000000006"/>
    <n v="12.8"/>
    <n v="1.02"/>
    <n v="77.849999999999994"/>
    <n v="2487.5"/>
    <n v="3.28"/>
    <s v="AA"/>
    <n v="7.8"/>
    <s v="Strong"/>
    <n v="95.6"/>
    <n v="9.1"/>
    <n v="7.8"/>
  </r>
  <r>
    <x v="11"/>
    <d v="2024-08-15T00:00:00"/>
    <x v="11"/>
    <n v="2789.1"/>
    <x v="11"/>
    <n v="0.6"/>
    <x v="11"/>
    <x v="10"/>
    <x v="10"/>
    <x v="11"/>
    <s v="RUB"/>
    <n v="91.2"/>
    <n v="-15.6"/>
    <n v="21.4"/>
    <n v="67.8"/>
    <n v="8.9"/>
    <n v="0.87"/>
    <n v="77.849999999999994"/>
    <n v="2487.5"/>
    <n v="12.45"/>
    <s v="BB+"/>
    <n v="3.2"/>
    <s v="Weak"/>
    <n v="67.400000000000006"/>
    <n v="15.2"/>
    <n v="18.7"/>
  </r>
  <r>
    <x v="12"/>
    <d v="2024-08-15T00:00:00"/>
    <x v="12"/>
    <n v="55234.6"/>
    <x v="12"/>
    <n v="0.7"/>
    <x v="12"/>
    <x v="11"/>
    <x v="11"/>
    <x v="12"/>
    <s v="MXN"/>
    <n v="19.8"/>
    <n v="-10.199999999999999"/>
    <n v="54.7"/>
    <n v="-12.4"/>
    <n v="34.700000000000003"/>
    <n v="0.89"/>
    <n v="77.849999999999994"/>
    <n v="2487.5"/>
    <n v="9.1199999999999992"/>
    <s v="BBB"/>
    <n v="6.1"/>
    <s v="Moderate"/>
    <n v="102.3"/>
    <n v="7.9"/>
    <n v="8.1999999999999993"/>
  </r>
  <r>
    <x v="13"/>
    <d v="2024-08-15T00:00:00"/>
    <x v="13"/>
    <n v="33456.699999999997"/>
    <x v="0"/>
    <n v="0.9"/>
    <x v="13"/>
    <x v="12"/>
    <x v="3"/>
    <x v="13"/>
    <s v="EUR"/>
    <n v="0.92"/>
    <n v="1.8"/>
    <n v="144.4"/>
    <n v="-56.7"/>
    <n v="28.9"/>
    <n v="1.08"/>
    <n v="77.849999999999994"/>
    <n v="2487.5"/>
    <n v="3.67"/>
    <s v="BBB"/>
    <n v="7.1"/>
    <s v="Moderate"/>
    <n v="89.7"/>
    <n v="3.2"/>
    <n v="2.9"/>
  </r>
  <r>
    <x v="14"/>
    <d v="2024-08-15T00:00:00"/>
    <x v="14"/>
    <n v="11123.8"/>
    <x v="3"/>
    <n v="0.8"/>
    <x v="14"/>
    <x v="13"/>
    <x v="3"/>
    <x v="14"/>
    <s v="EUR"/>
    <n v="0.92"/>
    <n v="1.8"/>
    <n v="107.7"/>
    <n v="23.4"/>
    <n v="45.6"/>
    <n v="1.08"/>
    <n v="77.849999999999994"/>
    <n v="2487.5"/>
    <n v="3.21"/>
    <s v="A"/>
    <n v="7.8"/>
    <s v="Moderate"/>
    <n v="98.3"/>
    <n v="4.0999999999999996"/>
    <n v="3.7"/>
  </r>
  <r>
    <x v="15"/>
    <d v="2024-08-15T00:00:00"/>
    <x v="15"/>
    <n v="889.3"/>
    <x v="13"/>
    <n v="1.1000000000000001"/>
    <x v="15"/>
    <x v="14"/>
    <x v="3"/>
    <x v="15"/>
    <s v="EUR"/>
    <n v="0.92"/>
    <n v="1.8"/>
    <n v="52.4"/>
    <n v="89.7"/>
    <n v="78.900000000000006"/>
    <n v="1.08"/>
    <n v="77.849999999999994"/>
    <n v="2487.5"/>
    <n v="2.78"/>
    <s v="AAA"/>
    <n v="8.8000000000000007"/>
    <s v="Strong"/>
    <n v="134.5"/>
    <n v="2.8"/>
    <n v="2.4"/>
  </r>
  <r>
    <x v="16"/>
    <d v="2024-08-15T00:00:00"/>
    <x v="16"/>
    <n v="12234.5"/>
    <x v="5"/>
    <n v="1.8"/>
    <x v="16"/>
    <x v="15"/>
    <x v="12"/>
    <x v="2"/>
    <s v="CHF"/>
    <n v="0.87"/>
    <n v="6.2"/>
    <n v="41"/>
    <n v="67.8"/>
    <n v="23.4"/>
    <n v="1.1299999999999999"/>
    <n v="77.849999999999994"/>
    <n v="2487.5"/>
    <n v="0.68"/>
    <s v="AAA"/>
    <n v="9.1"/>
    <s v="Strong"/>
    <n v="142.6"/>
    <n v="1.9"/>
    <n v="2.1"/>
  </r>
  <r>
    <x v="17"/>
    <d v="2024-08-15T00:00:00"/>
    <x v="17"/>
    <n v="2567.8000000000002"/>
    <x v="7"/>
    <n v="0.7"/>
    <x v="17"/>
    <x v="16"/>
    <x v="13"/>
    <x v="8"/>
    <s v="SEK"/>
    <n v="10.9"/>
    <n v="-4.7"/>
    <n v="35.1"/>
    <n v="34.5"/>
    <n v="12.8"/>
    <n v="1.07"/>
    <n v="77.849999999999994"/>
    <n v="2487.5"/>
    <n v="2.34"/>
    <s v="AAA"/>
    <n v="8.9"/>
    <s v="Strong"/>
    <n v="119.8"/>
    <n v="3.4"/>
    <n v="2.9"/>
  </r>
  <r>
    <x v="18"/>
    <d v="2024-08-15T00:00:00"/>
    <x v="18"/>
    <n v="1345.6"/>
    <x v="3"/>
    <n v="0.4"/>
    <x v="8"/>
    <x v="17"/>
    <x v="3"/>
    <x v="11"/>
    <s v="NOK"/>
    <n v="11.2"/>
    <n v="2.8"/>
    <n v="45.7"/>
    <n v="78.900000000000006"/>
    <n v="8.9"/>
    <n v="1.1399999999999999"/>
    <n v="77.849999999999994"/>
    <n v="2487.5"/>
    <n v="3.12"/>
    <s v="AAA"/>
    <n v="9"/>
    <s v="Strong"/>
    <n v="127.3"/>
    <n v="8.9"/>
    <n v="6.7"/>
  </r>
  <r>
    <x v="19"/>
    <d v="2024-08-15T00:00:00"/>
    <x v="19"/>
    <n v="2234.5"/>
    <x v="14"/>
    <n v="0.4"/>
    <x v="18"/>
    <x v="18"/>
    <x v="14"/>
    <x v="16"/>
    <s v="DKK"/>
    <n v="6.86"/>
    <n v="1.9"/>
    <n v="29.8"/>
    <n v="23.4"/>
    <n v="5.6"/>
    <n v="1.08"/>
    <n v="77.849999999999994"/>
    <n v="2487.5"/>
    <n v="2.4500000000000002"/>
    <s v="AAA"/>
    <n v="8.9"/>
    <s v="Strong"/>
    <n v="124.7"/>
    <n v="2.1"/>
    <n v="1.8"/>
  </r>
  <r>
    <x v="20"/>
    <d v="2024-08-15T00:00:00"/>
    <x v="20"/>
    <n v="3456.7"/>
    <x v="15"/>
    <n v="0.8"/>
    <x v="19"/>
    <x v="9"/>
    <x v="9"/>
    <x v="17"/>
    <s v="SGD"/>
    <n v="1.35"/>
    <n v="1.2"/>
    <n v="130.1"/>
    <n v="67.8"/>
    <n v="89.7"/>
    <n v="1.0900000000000001"/>
    <n v="77.849999999999994"/>
    <n v="2487.5"/>
    <n v="3.18"/>
    <s v="AAA"/>
    <n v="8.6999999999999993"/>
    <s v="Strong"/>
    <n v="98.9"/>
    <n v="12.4"/>
    <n v="11.7"/>
  </r>
  <r>
    <x v="21"/>
    <d v="2024-08-15T00:00:00"/>
    <x v="21"/>
    <n v="17234.5"/>
    <x v="16"/>
    <n v="4.2"/>
    <x v="20"/>
    <x v="19"/>
    <x v="15"/>
    <x v="12"/>
    <s v="HKD"/>
    <n v="7.82"/>
    <n v="0.1"/>
    <n v="0.1"/>
    <n v="34.5"/>
    <n v="67.8"/>
    <n v="0.98"/>
    <n v="77.849999999999994"/>
    <n v="2487.5"/>
    <n v="3.89"/>
    <s v="AA+"/>
    <n v="7.2"/>
    <s v="Moderate"/>
    <n v="87.6"/>
    <n v="6.7"/>
    <n v="5.9"/>
  </r>
  <r>
    <x v="22"/>
    <d v="2024-08-15T00:00:00"/>
    <x v="22"/>
    <n v="22567.8"/>
    <x v="11"/>
    <n v="2.1"/>
    <x v="21"/>
    <x v="20"/>
    <x v="16"/>
    <x v="0"/>
    <s v="TWD"/>
    <n v="32.1"/>
    <n v="-1.8"/>
    <n v="28.7"/>
    <n v="89.7"/>
    <n v="12.3"/>
    <n v="1.04"/>
    <n v="77.849999999999994"/>
    <n v="2487.5"/>
    <n v="1.23"/>
    <s v="AA"/>
    <n v="8.1"/>
    <s v="Strong"/>
    <n v="112.4"/>
    <n v="15.2"/>
    <n v="13.8"/>
  </r>
  <r>
    <x v="23"/>
    <d v="2024-08-15T00:00:00"/>
    <x v="23"/>
    <n v="7234.5"/>
    <x v="7"/>
    <n v="0.7"/>
    <x v="22"/>
    <x v="2"/>
    <x v="17"/>
    <x v="18"/>
    <s v="IDR"/>
    <n v="15487"/>
    <n v="-2.2999999999999998"/>
    <n v="39.799999999999997"/>
    <n v="-12.1"/>
    <n v="23.4"/>
    <n v="0.94"/>
    <n v="77.849999999999994"/>
    <n v="2487.5"/>
    <n v="7.12"/>
    <s v="BBB"/>
    <n v="6.5"/>
    <s v="Moderate"/>
    <n v="89.7"/>
    <n v="8.9"/>
    <n v="7.3"/>
  </r>
  <r>
    <x v="24"/>
    <d v="2024-08-15T00:00:00"/>
    <x v="24"/>
    <n v="1567.8"/>
    <x v="0"/>
    <n v="0.6"/>
    <x v="7"/>
    <x v="21"/>
    <x v="18"/>
    <x v="19"/>
    <s v="THB"/>
    <n v="36.200000000000003"/>
    <n v="3.4"/>
    <n v="61.4"/>
    <n v="12.8"/>
    <n v="8.9"/>
    <n v="0.97"/>
    <n v="77.849999999999994"/>
    <n v="2487.5"/>
    <n v="2.67"/>
    <s v="BBB+"/>
    <n v="7.1"/>
    <s v="Moderate"/>
    <n v="95.3"/>
    <n v="4.0999999999999996"/>
    <n v="3.8"/>
  </r>
  <r>
    <x v="25"/>
    <d v="2024-08-15T00:00:00"/>
    <x v="25"/>
    <n v="1634.5"/>
    <x v="3"/>
    <n v="0.5"/>
    <x v="23"/>
    <x v="4"/>
    <x v="19"/>
    <x v="11"/>
    <s v="MYR"/>
    <n v="4.67"/>
    <n v="-6.7"/>
    <n v="70.099999999999994"/>
    <n v="23.4"/>
    <n v="12.1"/>
    <n v="0.91"/>
    <n v="77.849999999999994"/>
    <n v="2487.5"/>
    <n v="3.78"/>
    <s v="A-"/>
    <n v="7.3"/>
    <s v="Moderate"/>
    <n v="87.9"/>
    <n v="6.7"/>
    <n v="5.9"/>
  </r>
  <r>
    <x v="26"/>
    <d v="2024-08-15T00:00:00"/>
    <x v="26"/>
    <n v="6789.1"/>
    <x v="6"/>
    <n v="0.3"/>
    <x v="24"/>
    <x v="22"/>
    <x v="5"/>
    <x v="20"/>
    <s v="PHP"/>
    <n v="56.3"/>
    <n v="-8.9"/>
    <n v="63.5"/>
    <n v="-8.9"/>
    <n v="9.8000000000000007"/>
    <n v="0.88"/>
    <n v="77.849999999999994"/>
    <n v="2487.5"/>
    <n v="6.45"/>
    <s v="BBB+"/>
    <n v="6.8"/>
    <s v="Moderate"/>
    <n v="78.900000000000006"/>
    <n v="8.1"/>
    <n v="7.4"/>
  </r>
  <r>
    <x v="27"/>
    <d v="2024-08-15T00:00:00"/>
    <x v="27"/>
    <n v="1234.5"/>
    <x v="17"/>
    <n v="0.3"/>
    <x v="25"/>
    <x v="23"/>
    <x v="3"/>
    <x v="21"/>
    <s v="VND"/>
    <n v="24789"/>
    <n v="-3.4"/>
    <n v="43.1"/>
    <n v="12.8"/>
    <n v="15.6"/>
    <n v="0.85"/>
    <n v="77.849999999999994"/>
    <n v="2487.5"/>
    <n v="2.89"/>
    <s v="BB+"/>
    <n v="6.2"/>
    <s v="Moderate"/>
    <n v="123.4"/>
    <n v="12.8"/>
    <n v="14.2"/>
  </r>
  <r>
    <x v="28"/>
    <d v="2024-08-15T00:00:00"/>
    <x v="28"/>
    <n v="10567.8"/>
    <x v="18"/>
    <n v="0.3"/>
    <x v="10"/>
    <x v="24"/>
    <x v="20"/>
    <x v="22"/>
    <s v="TRY"/>
    <n v="33.700000000000003"/>
    <n v="-35.6"/>
    <n v="32.1"/>
    <n v="-45.6"/>
    <n v="12.8"/>
    <n v="0.76"/>
    <n v="77.849999999999994"/>
    <n v="2487.5"/>
    <n v="28.45"/>
    <s v="B+"/>
    <n v="4.8"/>
    <s v="Weak"/>
    <n v="67.8"/>
    <n v="3.4"/>
    <n v="8.9"/>
  </r>
  <r>
    <x v="29"/>
    <d v="2024-08-15T00:00:00"/>
    <x v="29"/>
    <n v="75234.600000000006"/>
    <x v="11"/>
    <n v="0.4"/>
    <x v="2"/>
    <x v="11"/>
    <x v="21"/>
    <x v="23"/>
    <s v="ZAR"/>
    <n v="18.2"/>
    <n v="-7.8"/>
    <n v="71.099999999999994"/>
    <n v="8.9"/>
    <n v="4.5"/>
    <n v="0.82"/>
    <n v="77.849999999999994"/>
    <n v="2487.5"/>
    <n v="11.78"/>
    <s v="BB-"/>
    <n v="5.9"/>
    <s v="Weak"/>
    <n v="89.3"/>
    <n v="2.1"/>
    <n v="1.8"/>
  </r>
  <r>
    <x v="30"/>
    <d v="2024-08-15T00:00:00"/>
    <x v="30"/>
    <n v="25678.9"/>
    <x v="19"/>
    <n v="0.03"/>
    <x v="0"/>
    <x v="25"/>
    <x v="22"/>
    <x v="24"/>
    <s v="EGP"/>
    <n v="30.9"/>
    <n v="-49.7"/>
    <n v="89.7"/>
    <n v="-18.899999999999999"/>
    <n v="8.9"/>
    <n v="0.71"/>
    <n v="77.849999999999994"/>
    <n v="2487.5"/>
    <n v="19.45"/>
    <s v="B+"/>
    <n v="4.2"/>
    <s v="Weak"/>
    <n v="56.7"/>
    <n v="12.3"/>
    <n v="23.4"/>
  </r>
  <r>
    <x v="31"/>
    <d v="2024-08-15T00:00:00"/>
    <x v="31"/>
    <n v="98765.4"/>
    <x v="20"/>
    <n v="0.04"/>
    <x v="20"/>
    <x v="26"/>
    <x v="23"/>
    <x v="16"/>
    <s v="NGN"/>
    <n v="1567"/>
    <n v="-68.900000000000006"/>
    <n v="37.1"/>
    <n v="34.5"/>
    <n v="2.2999999999999998"/>
    <n v="0.68"/>
    <n v="77.849999999999994"/>
    <n v="2487.5"/>
    <n v="14.67"/>
    <s v="B-"/>
    <n v="3.8"/>
    <s v="Weak"/>
    <n v="78.900000000000006"/>
    <n v="23.4"/>
    <n v="34.5"/>
  </r>
  <r>
    <x v="32"/>
    <d v="2024-08-15T00:00:00"/>
    <x v="32"/>
    <n v="5678.9"/>
    <x v="3"/>
    <n v="0.2"/>
    <x v="12"/>
    <x v="23"/>
    <x v="15"/>
    <x v="25"/>
    <s v="CLP"/>
    <n v="967"/>
    <n v="-8.9"/>
    <n v="37.799999999999997"/>
    <n v="23.4"/>
    <n v="18.899999999999999"/>
    <n v="0.93"/>
    <n v="77.849999999999994"/>
    <n v="2487.5"/>
    <n v="5.89"/>
    <s v="A"/>
    <n v="7.8"/>
    <s v="Moderate"/>
    <n v="95.6"/>
    <n v="6.7"/>
    <n v="5.2"/>
  </r>
  <r>
    <x v="33"/>
    <d v="2024-08-15T00:00:00"/>
    <x v="33"/>
    <n v="1567890.2"/>
    <x v="21"/>
    <n v="0.05"/>
    <x v="26"/>
    <x v="27"/>
    <x v="24"/>
    <x v="26"/>
    <s v="ARS"/>
    <n v="945"/>
    <n v="-89.7"/>
    <n v="78.900000000000006"/>
    <n v="-23.4"/>
    <n v="4.5"/>
    <n v="0.45"/>
    <n v="77.849999999999994"/>
    <n v="2487.5"/>
    <n v="89.45"/>
    <s v="CCC+"/>
    <n v="2.1"/>
    <s v="Weak"/>
    <n v="34.5"/>
    <n v="-12.3"/>
    <n v="15.6"/>
  </r>
  <r>
    <x v="34"/>
    <d v="2024-08-15T00:00:00"/>
    <x v="34"/>
    <n v="1234.5"/>
    <x v="6"/>
    <n v="0.1"/>
    <x v="16"/>
    <x v="28"/>
    <x v="7"/>
    <x v="27"/>
    <s v="COP"/>
    <n v="4134"/>
    <n v="-18.899999999999999"/>
    <n v="56.7"/>
    <n v="-12.1"/>
    <n v="12.8"/>
    <n v="0.78"/>
    <n v="77.849999999999994"/>
    <n v="2487.5"/>
    <n v="12.34"/>
    <s v="BB+"/>
    <n v="5.8"/>
    <s v="Moderate"/>
    <n v="87.3"/>
    <n v="8.9"/>
    <n v="7.1"/>
  </r>
  <r>
    <x v="35"/>
    <d v="2024-08-15T00:00:00"/>
    <x v="35"/>
    <n v="23456.7"/>
    <x v="22"/>
    <n v="0.08"/>
    <x v="0"/>
    <x v="2"/>
    <x v="15"/>
    <x v="28"/>
    <s v="PEN"/>
    <n v="3.78"/>
    <n v="-6.7"/>
    <n v="34.200000000000003"/>
    <n v="8.9"/>
    <n v="6.7"/>
    <n v="0.91"/>
    <n v="77.849999999999994"/>
    <n v="2487.5"/>
    <n v="6.78"/>
    <s v="BBB+"/>
    <n v="6.7"/>
    <s v="Moderate"/>
    <n v="98.7"/>
    <n v="9.8000000000000007"/>
    <n v="8.1999999999999993"/>
  </r>
  <r>
    <x v="36"/>
    <d v="2024-08-15T00:00:00"/>
    <x v="36"/>
    <n v="9876.5"/>
    <x v="0"/>
    <n v="0.7"/>
    <x v="27"/>
    <x v="16"/>
    <x v="25"/>
    <x v="12"/>
    <s v="AED"/>
    <n v="3.67"/>
    <n v="0"/>
    <n v="34.5"/>
    <n v="67.8"/>
    <n v="23.4"/>
    <n v="1.06"/>
    <n v="77.849999999999994"/>
    <n v="2487.5"/>
    <n v="4.12"/>
    <s v="AA"/>
    <n v="8.1999999999999993"/>
    <s v="Strong"/>
    <n v="134.5"/>
    <n v="23.4"/>
    <n v="18.899999999999999"/>
  </r>
  <r>
    <x v="37"/>
    <d v="2024-08-15T00:00:00"/>
    <x v="37"/>
    <n v="12345.6"/>
    <x v="15"/>
    <n v="2.8"/>
    <x v="4"/>
    <x v="29"/>
    <x v="17"/>
    <x v="29"/>
    <s v="SAR"/>
    <n v="3.75"/>
    <n v="0"/>
    <n v="26.7"/>
    <n v="34.5"/>
    <n v="8.9"/>
    <n v="1.18"/>
    <n v="77.849999999999994"/>
    <n v="2487.5"/>
    <n v="4.2300000000000004"/>
    <s v="A-"/>
    <n v="6.9"/>
    <s v="Moderate"/>
    <n v="98.7"/>
    <n v="12.3"/>
    <n v="8.9"/>
  </r>
  <r>
    <x v="38"/>
    <d v="2024-08-15T00:00:00"/>
    <x v="38"/>
    <n v="1987.3"/>
    <x v="23"/>
    <n v="0.4"/>
    <x v="28"/>
    <x v="5"/>
    <x v="6"/>
    <x v="11"/>
    <s v="ILS"/>
    <n v="3.68"/>
    <n v="-2.1"/>
    <n v="60.9"/>
    <n v="23.4"/>
    <n v="18.899999999999999"/>
    <n v="1.03"/>
    <n v="77.849999999999994"/>
    <n v="2487.5"/>
    <n v="4.5599999999999996"/>
    <s v="A+"/>
    <n v="6.8"/>
    <s v="Moderate"/>
    <n v="89.7"/>
    <n v="5.6"/>
    <n v="4.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S&amp;P_500"/>
    <n v="5437.2"/>
    <n v="0.34"/>
    <n v="51.2"/>
    <n v="2.8"/>
    <n v="2.9"/>
    <n v="5.5"/>
    <n v="3.7"/>
    <s v="USD"/>
    <n v="1"/>
    <n v="0"/>
    <n v="126.4"/>
    <n v="-695.2"/>
    <n v="456.8"/>
    <n v="1.1200000000000001"/>
    <n v="77.849999999999994"/>
    <n v="2487.5"/>
    <n v="4.25"/>
    <x v="0"/>
    <n v="8.1"/>
    <x v="0"/>
    <n v="145.6"/>
    <n v="3.2"/>
    <n v="2.8"/>
  </r>
  <r>
    <x v="1"/>
    <x v="0"/>
    <s v="Shanghai_Composite"/>
    <n v="2891.6"/>
    <n v="-0.82"/>
    <n v="12.4"/>
    <n v="5.2"/>
    <n v="0.8"/>
    <n v="3.1"/>
    <n v="5.2"/>
    <s v="CNY"/>
    <n v="7.28"/>
    <n v="2.2999999999999998"/>
    <n v="77.099999999999994"/>
    <n v="382.9"/>
    <n v="189.7"/>
    <n v="0.98"/>
    <n v="77.849999999999994"/>
    <n v="2487.5"/>
    <n v="2.15"/>
    <x v="1"/>
    <n v="6.7"/>
    <x v="1"/>
    <n v="98.7"/>
    <n v="8.9"/>
    <n v="6.1"/>
  </r>
  <r>
    <x v="2"/>
    <x v="0"/>
    <s v="Nikkei_225"/>
    <n v="36789.1"/>
    <n v="1.24"/>
    <n v="6.8"/>
    <n v="0.9"/>
    <n v="2.8"/>
    <n v="-0.1"/>
    <n v="2.4"/>
    <s v="JPY"/>
    <n v="147.19999999999999"/>
    <n v="-8.9"/>
    <n v="263.10000000000002"/>
    <n v="49.7"/>
    <n v="23.4"/>
    <n v="1.05"/>
    <n v="77.849999999999994"/>
    <n v="2487.5"/>
    <n v="0.89"/>
    <x v="1"/>
    <n v="8.4"/>
    <x v="0"/>
    <n v="89.3"/>
    <n v="5.0999999999999996"/>
    <n v="4.7"/>
  </r>
  <r>
    <x v="3"/>
    <x v="0"/>
    <s v="DAX"/>
    <n v="18234.5"/>
    <n v="0.67"/>
    <n v="2.9"/>
    <n v="0.3"/>
    <n v="2.2000000000000002"/>
    <n v="4.5"/>
    <n v="3.1"/>
    <s v="EUR"/>
    <n v="0.92"/>
    <n v="1.8"/>
    <n v="66.3"/>
    <n v="297.39999999999998"/>
    <n v="67.8"/>
    <n v="1.08"/>
    <n v="77.849999999999994"/>
    <n v="2487.5"/>
    <n v="2.31"/>
    <x v="0"/>
    <n v="8.6999999999999993"/>
    <x v="0"/>
    <n v="112.4"/>
    <n v="2.1"/>
    <n v="1.8"/>
  </r>
  <r>
    <x v="4"/>
    <x v="0"/>
    <s v="FTSE_100"/>
    <n v="8156.3"/>
    <n v="-0.15"/>
    <n v="3.1"/>
    <n v="1.1000000000000001"/>
    <n v="2"/>
    <n v="5.25"/>
    <n v="4.2"/>
    <s v="GBP"/>
    <n v="0.78"/>
    <n v="-0.9"/>
    <n v="101.2"/>
    <n v="-85.6"/>
    <n v="45.2"/>
    <n v="1.06"/>
    <n v="77.849999999999994"/>
    <n v="2487.5"/>
    <n v="3.89"/>
    <x v="2"/>
    <n v="7.9"/>
    <x v="1"/>
    <n v="97.8"/>
    <n v="0.9"/>
    <n v="1.2"/>
  </r>
  <r>
    <x v="5"/>
    <x v="0"/>
    <s v="CAC_40"/>
    <n v="7389.2"/>
    <n v="0.28000000000000003"/>
    <n v="3"/>
    <n v="1.3"/>
    <n v="2.2999999999999998"/>
    <n v="4.5"/>
    <n v="7.4"/>
    <s v="EUR"/>
    <n v="0.92"/>
    <n v="1.8"/>
    <n v="111.8"/>
    <n v="-22.1"/>
    <n v="56.7"/>
    <n v="1.08"/>
    <n v="77.849999999999994"/>
    <n v="2487.5"/>
    <n v="2.95"/>
    <x v="2"/>
    <n v="7.3"/>
    <x v="1"/>
    <n v="103.2"/>
    <n v="1.8"/>
    <n v="2.1"/>
  </r>
  <r>
    <x v="6"/>
    <x v="0"/>
    <s v="Sensex"/>
    <n v="80456.7"/>
    <n v="0.89"/>
    <n v="4.3"/>
    <n v="6.8"/>
    <n v="4.9000000000000004"/>
    <n v="6.5"/>
    <n v="3.2"/>
    <s v="INR"/>
    <n v="83.7"/>
    <n v="-0.5"/>
    <n v="84.2"/>
    <n v="-23.1"/>
    <n v="67.400000000000006"/>
    <n v="1.1499999999999999"/>
    <n v="77.849999999999994"/>
    <n v="2487.5"/>
    <n v="7.04"/>
    <x v="3"/>
    <n v="6.8"/>
    <x v="1"/>
    <n v="134.80000000000001"/>
    <n v="13.2"/>
    <n v="10.9"/>
  </r>
  <r>
    <x v="7"/>
    <x v="0"/>
    <s v="TSX"/>
    <n v="22567.8"/>
    <n v="0.45"/>
    <n v="2.8"/>
    <n v="2.9"/>
    <n v="2.8"/>
    <n v="4.75"/>
    <n v="6.1"/>
    <s v="CAD"/>
    <n v="1.37"/>
    <n v="4.2"/>
    <n v="106.7"/>
    <n v="12.8"/>
    <n v="34.5"/>
    <n v="1.0900000000000001"/>
    <n v="77.849999999999994"/>
    <n v="2487.5"/>
    <n v="3.42"/>
    <x v="0"/>
    <n v="8.9"/>
    <x v="0"/>
    <n v="126.7"/>
    <n v="4.0999999999999996"/>
    <n v="3.8"/>
  </r>
  <r>
    <x v="8"/>
    <x v="0"/>
    <s v="Bovespa"/>
    <n v="129834.2"/>
    <n v="1.67"/>
    <n v="1.4"/>
    <n v="2.1"/>
    <n v="4.5"/>
    <n v="10.75"/>
    <n v="7.8"/>
    <s v="BRL"/>
    <n v="5.47"/>
    <n v="-8.9"/>
    <n v="87.7"/>
    <n v="-46.9"/>
    <n v="67.2"/>
    <n v="0.95"/>
    <n v="77.849999999999994"/>
    <n v="2487.5"/>
    <n v="10.84"/>
    <x v="4"/>
    <n v="5.4"/>
    <x v="2"/>
    <n v="89.3"/>
    <n v="8.6999999999999993"/>
    <n v="6.9"/>
  </r>
  <r>
    <x v="9"/>
    <x v="0"/>
    <s v="ASX_200"/>
    <n v="7923.4"/>
    <n v="0.22"/>
    <n v="1.8"/>
    <n v="1.7"/>
    <n v="3.8"/>
    <n v="4.3499999999999996"/>
    <n v="4.0999999999999996"/>
    <s v="AUD"/>
    <n v="1.52"/>
    <n v="5.6"/>
    <n v="45.1"/>
    <n v="67.8"/>
    <n v="45.7"/>
    <n v="1.1100000000000001"/>
    <n v="77.849999999999994"/>
    <n v="2487.5"/>
    <n v="4.07"/>
    <x v="0"/>
    <n v="8.6"/>
    <x v="0"/>
    <n v="118.9"/>
    <n v="6.2"/>
    <n v="5.4"/>
  </r>
  <r>
    <x v="10"/>
    <x v="0"/>
    <s v="KOSPI"/>
    <n v="2634.5"/>
    <n v="-0.34"/>
    <n v="1.9"/>
    <n v="3.1"/>
    <n v="2.4"/>
    <n v="3.5"/>
    <n v="2.9"/>
    <s v="KRW"/>
    <n v="1342.5"/>
    <n v="-2.1"/>
    <n v="54.6"/>
    <n v="67.400000000000006"/>
    <n v="12.8"/>
    <n v="1.02"/>
    <n v="77.849999999999994"/>
    <n v="2487.5"/>
    <n v="3.28"/>
    <x v="2"/>
    <n v="7.8"/>
    <x v="0"/>
    <n v="95.6"/>
    <n v="9.1"/>
    <n v="7.8"/>
  </r>
  <r>
    <x v="11"/>
    <x v="0"/>
    <s v="MOEX"/>
    <n v="2789.1"/>
    <n v="0.78"/>
    <n v="0.6"/>
    <n v="-1.9"/>
    <n v="7.4"/>
    <n v="16"/>
    <n v="3.4"/>
    <s v="RUB"/>
    <n v="91.2"/>
    <n v="-15.6"/>
    <n v="21.4"/>
    <n v="67.8"/>
    <n v="8.9"/>
    <n v="0.87"/>
    <n v="77.849999999999994"/>
    <n v="2487.5"/>
    <n v="12.45"/>
    <x v="5"/>
    <n v="3.2"/>
    <x v="2"/>
    <n v="67.400000000000006"/>
    <n v="15.2"/>
    <n v="18.7"/>
  </r>
  <r>
    <x v="12"/>
    <x v="0"/>
    <s v="IPC"/>
    <n v="55234.6"/>
    <n v="0.91"/>
    <n v="0.7"/>
    <n v="2.4"/>
    <n v="4.7"/>
    <n v="11"/>
    <n v="2.8"/>
    <s v="MXN"/>
    <n v="19.8"/>
    <n v="-10.199999999999999"/>
    <n v="54.7"/>
    <n v="-12.4"/>
    <n v="34.700000000000003"/>
    <n v="0.89"/>
    <n v="77.849999999999994"/>
    <n v="2487.5"/>
    <n v="9.1199999999999992"/>
    <x v="6"/>
    <n v="6.1"/>
    <x v="1"/>
    <n v="102.3"/>
    <n v="7.9"/>
    <n v="8.1999999999999993"/>
  </r>
  <r>
    <x v="13"/>
    <x v="0"/>
    <s v="FTSE_MIB"/>
    <n v="33456.699999999997"/>
    <n v="0.34"/>
    <n v="0.9"/>
    <n v="0.7"/>
    <n v="1"/>
    <n v="4.5"/>
    <n v="7.6"/>
    <s v="EUR"/>
    <n v="0.92"/>
    <n v="1.8"/>
    <n v="144.4"/>
    <n v="-56.7"/>
    <n v="28.9"/>
    <n v="1.08"/>
    <n v="77.849999999999994"/>
    <n v="2487.5"/>
    <n v="3.67"/>
    <x v="6"/>
    <n v="7.1"/>
    <x v="1"/>
    <n v="89.7"/>
    <n v="3.2"/>
    <n v="2.9"/>
  </r>
  <r>
    <x v="14"/>
    <x v="0"/>
    <s v="IBEX_35"/>
    <n v="11123.8"/>
    <n v="0.67"/>
    <n v="0.8"/>
    <n v="2.5"/>
    <n v="3.2"/>
    <n v="4.5"/>
    <n v="11.5"/>
    <s v="EUR"/>
    <n v="0.92"/>
    <n v="1.8"/>
    <n v="107.7"/>
    <n v="23.4"/>
    <n v="45.6"/>
    <n v="1.08"/>
    <n v="77.849999999999994"/>
    <n v="2487.5"/>
    <n v="3.21"/>
    <x v="7"/>
    <n v="7.8"/>
    <x v="1"/>
    <n v="98.3"/>
    <n v="4.0999999999999996"/>
    <n v="3.7"/>
  </r>
  <r>
    <x v="15"/>
    <x v="0"/>
    <s v="AEX"/>
    <n v="889.3"/>
    <n v="0.12"/>
    <n v="1.1000000000000001"/>
    <n v="0.6"/>
    <n v="1.1000000000000001"/>
    <n v="4.5"/>
    <n v="3.6"/>
    <s v="EUR"/>
    <n v="0.92"/>
    <n v="1.8"/>
    <n v="52.4"/>
    <n v="89.7"/>
    <n v="78.900000000000006"/>
    <n v="1.08"/>
    <n v="77.849999999999994"/>
    <n v="2487.5"/>
    <n v="2.78"/>
    <x v="0"/>
    <n v="8.8000000000000007"/>
    <x v="0"/>
    <n v="134.5"/>
    <n v="2.8"/>
    <n v="2.4"/>
  </r>
  <r>
    <x v="16"/>
    <x v="0"/>
    <s v="SMI"/>
    <n v="12234.5"/>
    <n v="0.28000000000000003"/>
    <n v="1.8"/>
    <n v="1.2"/>
    <n v="1.4"/>
    <n v="1.25"/>
    <n v="2.4"/>
    <s v="CHF"/>
    <n v="0.87"/>
    <n v="6.2"/>
    <n v="41"/>
    <n v="67.8"/>
    <n v="23.4"/>
    <n v="1.1299999999999999"/>
    <n v="77.849999999999994"/>
    <n v="2487.5"/>
    <n v="0.68"/>
    <x v="0"/>
    <n v="9.1"/>
    <x v="0"/>
    <n v="142.6"/>
    <n v="1.9"/>
    <n v="2.1"/>
  </r>
  <r>
    <x v="17"/>
    <x v="0"/>
    <s v="OMX_Stockholm"/>
    <n v="2567.8000000000002"/>
    <n v="0.45"/>
    <n v="0.7"/>
    <n v="0.8"/>
    <n v="1.9"/>
    <n v="3.75"/>
    <n v="7.8"/>
    <s v="SEK"/>
    <n v="10.9"/>
    <n v="-4.7"/>
    <n v="35.1"/>
    <n v="34.5"/>
    <n v="12.8"/>
    <n v="1.07"/>
    <n v="77.849999999999994"/>
    <n v="2487.5"/>
    <n v="2.34"/>
    <x v="0"/>
    <n v="8.9"/>
    <x v="0"/>
    <n v="119.8"/>
    <n v="3.4"/>
    <n v="2.9"/>
  </r>
  <r>
    <x v="18"/>
    <x v="0"/>
    <s v="OSE"/>
    <n v="1345.6"/>
    <n v="0.67"/>
    <n v="0.4"/>
    <n v="2.1"/>
    <n v="3.1"/>
    <n v="4.5"/>
    <n v="3.4"/>
    <s v="NOK"/>
    <n v="11.2"/>
    <n v="2.8"/>
    <n v="45.7"/>
    <n v="78.900000000000006"/>
    <n v="8.9"/>
    <n v="1.1399999999999999"/>
    <n v="77.849999999999994"/>
    <n v="2487.5"/>
    <n v="3.12"/>
    <x v="0"/>
    <n v="9"/>
    <x v="0"/>
    <n v="127.3"/>
    <n v="8.9"/>
    <n v="6.7"/>
  </r>
  <r>
    <x v="19"/>
    <x v="0"/>
    <s v="OMXC_20"/>
    <n v="2234.5"/>
    <n v="0.23"/>
    <n v="0.4"/>
    <n v="1.8"/>
    <n v="1.7"/>
    <n v="3.6"/>
    <n v="5.0999999999999996"/>
    <s v="DKK"/>
    <n v="6.86"/>
    <n v="1.9"/>
    <n v="29.8"/>
    <n v="23.4"/>
    <n v="5.6"/>
    <n v="1.08"/>
    <n v="77.849999999999994"/>
    <n v="2487.5"/>
    <n v="2.4500000000000002"/>
    <x v="0"/>
    <n v="8.9"/>
    <x v="0"/>
    <n v="124.7"/>
    <n v="2.1"/>
    <n v="1.8"/>
  </r>
  <r>
    <x v="20"/>
    <x v="0"/>
    <s v="STI"/>
    <n v="3456.7"/>
    <n v="0.56000000000000005"/>
    <n v="0.8"/>
    <n v="2.6"/>
    <n v="2.4"/>
    <n v="3.5"/>
    <n v="2.1"/>
    <s v="SGD"/>
    <n v="1.35"/>
    <n v="1.2"/>
    <n v="130.1"/>
    <n v="67.8"/>
    <n v="89.7"/>
    <n v="1.0900000000000001"/>
    <n v="77.849999999999994"/>
    <n v="2487.5"/>
    <n v="3.18"/>
    <x v="0"/>
    <n v="8.6999999999999993"/>
    <x v="0"/>
    <n v="98.9"/>
    <n v="12.4"/>
    <n v="11.7"/>
  </r>
  <r>
    <x v="21"/>
    <x v="0"/>
    <s v="Hang_Seng"/>
    <n v="17234.5"/>
    <n v="-1.23"/>
    <n v="4.2"/>
    <n v="3.2"/>
    <n v="1.8"/>
    <n v="5.75"/>
    <n v="2.8"/>
    <s v="HKD"/>
    <n v="7.82"/>
    <n v="0.1"/>
    <n v="0.1"/>
    <n v="34.5"/>
    <n v="67.8"/>
    <n v="0.98"/>
    <n v="77.849999999999994"/>
    <n v="2487.5"/>
    <n v="3.89"/>
    <x v="8"/>
    <n v="7.2"/>
    <x v="1"/>
    <n v="87.6"/>
    <n v="6.7"/>
    <n v="5.9"/>
  </r>
  <r>
    <x v="22"/>
    <x v="0"/>
    <s v="TAIEX"/>
    <n v="22567.8"/>
    <n v="0.78"/>
    <n v="2.1"/>
    <n v="3.8"/>
    <n v="2.1"/>
    <n v="1.5"/>
    <n v="3.7"/>
    <s v="TWD"/>
    <n v="32.1"/>
    <n v="-1.8"/>
    <n v="28.7"/>
    <n v="89.7"/>
    <n v="12.3"/>
    <n v="1.04"/>
    <n v="77.849999999999994"/>
    <n v="2487.5"/>
    <n v="1.23"/>
    <x v="2"/>
    <n v="8.1"/>
    <x v="0"/>
    <n v="112.4"/>
    <n v="15.2"/>
    <n v="13.8"/>
  </r>
  <r>
    <x v="23"/>
    <x v="0"/>
    <s v="JCI"/>
    <n v="7234.5"/>
    <n v="0.45"/>
    <n v="0.7"/>
    <n v="5.0999999999999996"/>
    <n v="2.8"/>
    <n v="6"/>
    <n v="5.4"/>
    <s v="IDR"/>
    <n v="15487"/>
    <n v="-2.2999999999999998"/>
    <n v="39.799999999999997"/>
    <n v="-12.1"/>
    <n v="23.4"/>
    <n v="0.94"/>
    <n v="77.849999999999994"/>
    <n v="2487.5"/>
    <n v="7.12"/>
    <x v="6"/>
    <n v="6.5"/>
    <x v="1"/>
    <n v="89.7"/>
    <n v="8.9"/>
    <n v="7.3"/>
  </r>
  <r>
    <x v="24"/>
    <x v="0"/>
    <s v="SET"/>
    <n v="1567.8"/>
    <n v="0.34"/>
    <n v="0.6"/>
    <n v="2.9"/>
    <n v="0.4"/>
    <n v="2.5"/>
    <n v="1.2"/>
    <s v="THB"/>
    <n v="36.200000000000003"/>
    <n v="3.4"/>
    <n v="61.4"/>
    <n v="12.8"/>
    <n v="8.9"/>
    <n v="0.97"/>
    <n v="77.849999999999994"/>
    <n v="2487.5"/>
    <n v="2.67"/>
    <x v="9"/>
    <n v="7.1"/>
    <x v="1"/>
    <n v="95.3"/>
    <n v="4.0999999999999996"/>
    <n v="3.8"/>
  </r>
  <r>
    <x v="25"/>
    <x v="0"/>
    <s v="KLCI"/>
    <n v="1634.5"/>
    <n v="0.67"/>
    <n v="0.5"/>
    <n v="4.2"/>
    <n v="2"/>
    <n v="3"/>
    <n v="3.4"/>
    <s v="MYR"/>
    <n v="4.67"/>
    <n v="-6.7"/>
    <n v="70.099999999999994"/>
    <n v="23.4"/>
    <n v="12.1"/>
    <n v="0.91"/>
    <n v="77.849999999999994"/>
    <n v="2487.5"/>
    <n v="3.78"/>
    <x v="10"/>
    <n v="7.3"/>
    <x v="1"/>
    <n v="87.9"/>
    <n v="6.7"/>
    <n v="5.9"/>
  </r>
  <r>
    <x v="26"/>
    <x v="0"/>
    <s v="PSE"/>
    <n v="6789.1"/>
    <n v="0.89"/>
    <n v="0.3"/>
    <n v="5.8"/>
    <n v="3.7"/>
    <n v="6.5"/>
    <n v="5.9"/>
    <s v="PHP"/>
    <n v="56.3"/>
    <n v="-8.9"/>
    <n v="63.5"/>
    <n v="-8.9"/>
    <n v="9.8000000000000007"/>
    <n v="0.88"/>
    <n v="77.849999999999994"/>
    <n v="2487.5"/>
    <n v="6.45"/>
    <x v="9"/>
    <n v="6.8"/>
    <x v="1"/>
    <n v="78.900000000000006"/>
    <n v="8.1"/>
    <n v="7.4"/>
  </r>
  <r>
    <x v="27"/>
    <x v="0"/>
    <s v="VN_Index"/>
    <n v="1234.5"/>
    <n v="1.23"/>
    <n v="0.3"/>
    <n v="6.4"/>
    <n v="4.0999999999999996"/>
    <n v="4.5"/>
    <n v="12.3"/>
    <s v="VND"/>
    <n v="24789"/>
    <n v="-3.4"/>
    <n v="43.1"/>
    <n v="12.8"/>
    <n v="15.6"/>
    <n v="0.85"/>
    <n v="77.849999999999994"/>
    <n v="2487.5"/>
    <n v="2.89"/>
    <x v="5"/>
    <n v="6.2"/>
    <x v="1"/>
    <n v="123.4"/>
    <n v="12.8"/>
    <n v="14.2"/>
  </r>
  <r>
    <x v="28"/>
    <x v="0"/>
    <s v="BIST_100"/>
    <n v="10567.8"/>
    <n v="2.34"/>
    <n v="0.3"/>
    <n v="3.1"/>
    <n v="64.8"/>
    <n v="50"/>
    <n v="10.5"/>
    <s v="TRY"/>
    <n v="33.700000000000003"/>
    <n v="-35.6"/>
    <n v="32.1"/>
    <n v="-45.6"/>
    <n v="12.8"/>
    <n v="0.76"/>
    <n v="77.849999999999994"/>
    <n v="2487.5"/>
    <n v="28.45"/>
    <x v="11"/>
    <n v="4.8"/>
    <x v="2"/>
    <n v="67.8"/>
    <n v="3.4"/>
    <n v="8.9"/>
  </r>
  <r>
    <x v="29"/>
    <x v="0"/>
    <s v="JSE"/>
    <n v="75234.600000000006"/>
    <n v="0.78"/>
    <n v="0.4"/>
    <n v="0.9"/>
    <n v="4.7"/>
    <n v="8.25"/>
    <n v="28.7"/>
    <s v="ZAR"/>
    <n v="18.2"/>
    <n v="-7.8"/>
    <n v="71.099999999999994"/>
    <n v="8.9"/>
    <n v="4.5"/>
    <n v="0.82"/>
    <n v="77.849999999999994"/>
    <n v="2487.5"/>
    <n v="11.78"/>
    <x v="4"/>
    <n v="5.9"/>
    <x v="2"/>
    <n v="89.3"/>
    <n v="2.1"/>
    <n v="1.8"/>
  </r>
  <r>
    <x v="30"/>
    <x v="0"/>
    <s v="EGX_30"/>
    <n v="25678.9"/>
    <n v="1.45"/>
    <n v="0.03"/>
    <n v="2.8"/>
    <n v="33.1"/>
    <n v="27.25"/>
    <n v="7.2"/>
    <s v="EGP"/>
    <n v="30.9"/>
    <n v="-49.7"/>
    <n v="89.7"/>
    <n v="-18.899999999999999"/>
    <n v="8.9"/>
    <n v="0.71"/>
    <n v="77.849999999999994"/>
    <n v="2487.5"/>
    <n v="19.45"/>
    <x v="11"/>
    <n v="4.2"/>
    <x v="2"/>
    <n v="56.7"/>
    <n v="12.3"/>
    <n v="23.4"/>
  </r>
  <r>
    <x v="31"/>
    <x v="0"/>
    <s v="NSE"/>
    <n v="98765.4"/>
    <n v="2.1"/>
    <n v="0.04"/>
    <n v="3.2"/>
    <n v="21.8"/>
    <n v="18.75"/>
    <n v="5.0999999999999996"/>
    <s v="NGN"/>
    <n v="1567"/>
    <n v="-68.900000000000006"/>
    <n v="37.1"/>
    <n v="34.5"/>
    <n v="2.2999999999999998"/>
    <n v="0.68"/>
    <n v="77.849999999999994"/>
    <n v="2487.5"/>
    <n v="14.67"/>
    <x v="12"/>
    <n v="3.8"/>
    <x v="2"/>
    <n v="78.900000000000006"/>
    <n v="23.4"/>
    <n v="34.5"/>
  </r>
  <r>
    <x v="32"/>
    <x v="0"/>
    <s v="IPSA"/>
    <n v="5678.9"/>
    <n v="0.67"/>
    <n v="0.2"/>
    <n v="2.4"/>
    <n v="4.0999999999999996"/>
    <n v="5.75"/>
    <n v="8.8000000000000007"/>
    <s v="CLP"/>
    <n v="967"/>
    <n v="-8.9"/>
    <n v="37.799999999999997"/>
    <n v="23.4"/>
    <n v="18.899999999999999"/>
    <n v="0.93"/>
    <n v="77.849999999999994"/>
    <n v="2487.5"/>
    <n v="5.89"/>
    <x v="7"/>
    <n v="7.8"/>
    <x v="1"/>
    <n v="95.6"/>
    <n v="6.7"/>
    <n v="5.2"/>
  </r>
  <r>
    <x v="33"/>
    <x v="0"/>
    <s v="Merval"/>
    <n v="1567890.2"/>
    <n v="3.45"/>
    <n v="0.05"/>
    <n v="-1.6"/>
    <n v="211.4"/>
    <n v="133"/>
    <n v="6.2"/>
    <s v="ARS"/>
    <n v="945"/>
    <n v="-89.7"/>
    <n v="78.900000000000006"/>
    <n v="-23.4"/>
    <n v="4.5"/>
    <n v="0.45"/>
    <n v="77.849999999999994"/>
    <n v="2487.5"/>
    <n v="89.45"/>
    <x v="13"/>
    <n v="2.1"/>
    <x v="2"/>
    <n v="34.5"/>
    <n v="-12.3"/>
    <n v="15.6"/>
  </r>
  <r>
    <x v="34"/>
    <x v="0"/>
    <s v="COLCAP"/>
    <n v="1234.5"/>
    <n v="0.89"/>
    <n v="0.1"/>
    <n v="1.2"/>
    <n v="7.2"/>
    <n v="10.75"/>
    <n v="10.199999999999999"/>
    <s v="COP"/>
    <n v="4134"/>
    <n v="-18.899999999999999"/>
    <n v="56.7"/>
    <n v="-12.1"/>
    <n v="12.8"/>
    <n v="0.78"/>
    <n v="77.849999999999994"/>
    <n v="2487.5"/>
    <n v="12.34"/>
    <x v="5"/>
    <n v="5.8"/>
    <x v="1"/>
    <n v="87.3"/>
    <n v="8.9"/>
    <n v="7.1"/>
  </r>
  <r>
    <x v="35"/>
    <x v="0"/>
    <s v="Lima_General"/>
    <n v="23456.7"/>
    <n v="1.1200000000000001"/>
    <n v="0.08"/>
    <n v="2.8"/>
    <n v="2.8"/>
    <n v="5.75"/>
    <n v="6.4"/>
    <s v="PEN"/>
    <n v="3.78"/>
    <n v="-6.7"/>
    <n v="34.200000000000003"/>
    <n v="8.9"/>
    <n v="6.7"/>
    <n v="0.91"/>
    <n v="77.849999999999994"/>
    <n v="2487.5"/>
    <n v="6.78"/>
    <x v="9"/>
    <n v="6.7"/>
    <x v="1"/>
    <n v="98.7"/>
    <n v="9.8000000000000007"/>
    <n v="8.1999999999999993"/>
  </r>
  <r>
    <x v="36"/>
    <x v="0"/>
    <s v="ADX"/>
    <n v="9876.5"/>
    <n v="0.34"/>
    <n v="0.7"/>
    <n v="3.9"/>
    <n v="1.9"/>
    <n v="5.4"/>
    <n v="2.8"/>
    <s v="AED"/>
    <n v="3.67"/>
    <n v="0"/>
    <n v="34.5"/>
    <n v="67.8"/>
    <n v="23.4"/>
    <n v="1.06"/>
    <n v="77.849999999999994"/>
    <n v="2487.5"/>
    <n v="4.12"/>
    <x v="2"/>
    <n v="8.1999999999999993"/>
    <x v="0"/>
    <n v="134.5"/>
    <n v="23.4"/>
    <n v="18.899999999999999"/>
  </r>
  <r>
    <x v="37"/>
    <x v="0"/>
    <s v="Tadawul"/>
    <n v="12345.6"/>
    <n v="0.56000000000000005"/>
    <n v="2.8"/>
    <n v="1.1000000000000001"/>
    <n v="-0.4"/>
    <n v="6"/>
    <n v="5.8"/>
    <s v="SAR"/>
    <n v="3.75"/>
    <n v="0"/>
    <n v="26.7"/>
    <n v="34.5"/>
    <n v="8.9"/>
    <n v="1.18"/>
    <n v="77.849999999999994"/>
    <n v="2487.5"/>
    <n v="4.2300000000000004"/>
    <x v="10"/>
    <n v="6.9"/>
    <x v="1"/>
    <n v="98.7"/>
    <n v="12.3"/>
    <n v="8.9"/>
  </r>
  <r>
    <x v="38"/>
    <x v="0"/>
    <s v="TA_125"/>
    <n v="1987.3"/>
    <n v="-0.78"/>
    <n v="0.4"/>
    <n v="2"/>
    <n v="2.2999999999999998"/>
    <n v="4.75"/>
    <n v="3.4"/>
    <s v="ILS"/>
    <n v="3.68"/>
    <n v="-2.1"/>
    <n v="60.9"/>
    <n v="23.4"/>
    <n v="18.899999999999999"/>
    <n v="1.03"/>
    <n v="77.849999999999994"/>
    <n v="2487.5"/>
    <n v="4.5599999999999996"/>
    <x v="1"/>
    <n v="6.8"/>
    <x v="1"/>
    <n v="89.7"/>
    <n v="5.6"/>
    <n v="4.2"/>
  </r>
  <r>
    <x v="39"/>
    <x v="1"/>
    <m/>
    <m/>
    <m/>
    <m/>
    <m/>
    <m/>
    <m/>
    <m/>
    <m/>
    <m/>
    <m/>
    <m/>
    <m/>
    <m/>
    <m/>
    <m/>
    <m/>
    <m/>
    <x v="14"/>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AB8F8-CD9F-401A-8373-453939C9CBB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G23" firstHeaderRow="1" firstDataRow="1" firstDataCol="1"/>
  <pivotFields count="3">
    <pivotField dataField="1" showAll="0"/>
    <pivotField axis="axisRow" showAll="0">
      <items count="5">
        <item x="2"/>
        <item x="0"/>
        <item x="1"/>
        <item x="3"/>
        <item t="default"/>
      </items>
    </pivotField>
    <pivotField showAll="0"/>
  </pivotFields>
  <rowFields count="1">
    <field x="1"/>
  </rowFields>
  <rowItems count="5">
    <i>
      <x/>
    </i>
    <i>
      <x v="1"/>
    </i>
    <i>
      <x v="2"/>
    </i>
    <i>
      <x v="3"/>
    </i>
    <i t="grand">
      <x/>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A7A0BC-9BAF-4DEF-B129-F40BC060FC36}" name="PivotTable1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44" firstHeaderRow="1" firstDataRow="1" firstDataCol="1"/>
  <pivotFields count="28">
    <pivotField axis="axisRow"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x="39"/>
        <item t="default"/>
      </items>
    </pivotField>
    <pivotField showAll="0"/>
    <pivotField showAll="0">
      <items count="41">
        <item x="36"/>
        <item x="15"/>
        <item x="9"/>
        <item x="28"/>
        <item x="8"/>
        <item x="5"/>
        <item x="34"/>
        <item x="3"/>
        <item x="30"/>
        <item x="4"/>
        <item x="13"/>
        <item x="21"/>
        <item x="14"/>
        <item x="12"/>
        <item x="32"/>
        <item x="23"/>
        <item x="29"/>
        <item x="25"/>
        <item x="10"/>
        <item x="35"/>
        <item x="33"/>
        <item x="11"/>
        <item x="2"/>
        <item x="31"/>
        <item x="17"/>
        <item x="19"/>
        <item x="18"/>
        <item x="26"/>
        <item x="0"/>
        <item x="6"/>
        <item x="24"/>
        <item x="1"/>
        <item x="16"/>
        <item x="20"/>
        <item x="38"/>
        <item x="37"/>
        <item x="22"/>
        <item x="7"/>
        <item x="27"/>
        <item x="3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Market_Cap_Trillion_USD"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586BE-01B6-4FAC-A2CC-5D00585F78CB}" name="PivotTable1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F44" firstHeaderRow="1" firstDataRow="1" firstDataCol="1"/>
  <pivotFields count="28">
    <pivotField axis="axisRow"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x="39"/>
        <item t="default"/>
      </items>
    </pivotField>
    <pivotField showAll="0"/>
    <pivotField showAll="0">
      <items count="41">
        <item x="36"/>
        <item x="15"/>
        <item x="9"/>
        <item x="28"/>
        <item x="8"/>
        <item x="5"/>
        <item x="34"/>
        <item x="3"/>
        <item x="30"/>
        <item x="4"/>
        <item x="13"/>
        <item x="21"/>
        <item x="14"/>
        <item x="12"/>
        <item x="32"/>
        <item x="23"/>
        <item x="29"/>
        <item x="25"/>
        <item x="10"/>
        <item x="35"/>
        <item x="33"/>
        <item x="11"/>
        <item x="2"/>
        <item x="31"/>
        <item x="17"/>
        <item x="19"/>
        <item x="18"/>
        <item x="26"/>
        <item x="0"/>
        <item x="6"/>
        <item x="24"/>
        <item x="1"/>
        <item x="16"/>
        <item x="20"/>
        <item x="38"/>
        <item x="37"/>
        <item x="22"/>
        <item x="7"/>
        <item x="27"/>
        <item x="3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Market_Cap_Trillion_USD"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12B32-41A1-490C-8188-6B2C4F6EE5BB}"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44" firstHeaderRow="1" firstDataRow="1" firstDataCol="1"/>
  <pivotFields count="28">
    <pivotField showAll="0"/>
    <pivotField showAll="0"/>
    <pivotField axis="axisRow" showAll="0" sortType="descending">
      <items count="41">
        <item x="36"/>
        <item x="15"/>
        <item x="9"/>
        <item x="28"/>
        <item x="8"/>
        <item x="5"/>
        <item x="34"/>
        <item x="3"/>
        <item x="30"/>
        <item x="4"/>
        <item x="13"/>
        <item x="21"/>
        <item x="14"/>
        <item x="12"/>
        <item x="32"/>
        <item x="23"/>
        <item x="29"/>
        <item x="25"/>
        <item x="10"/>
        <item x="35"/>
        <item x="33"/>
        <item x="11"/>
        <item x="2"/>
        <item x="31"/>
        <item x="17"/>
        <item x="19"/>
        <item x="18"/>
        <item x="26"/>
        <item x="0"/>
        <item x="6"/>
        <item x="24"/>
        <item x="1"/>
        <item x="16"/>
        <item x="20"/>
        <item x="38"/>
        <item x="37"/>
        <item x="22"/>
        <item x="7"/>
        <item x="27"/>
        <item x="3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1">
    <i>
      <x v="20"/>
    </i>
    <i>
      <x v="3"/>
    </i>
    <i>
      <x v="23"/>
    </i>
    <i>
      <x v="4"/>
    </i>
    <i>
      <x v="8"/>
    </i>
    <i>
      <x v="22"/>
    </i>
    <i>
      <x v="38"/>
    </i>
    <i>
      <x v="19"/>
    </i>
    <i>
      <x v="13"/>
    </i>
    <i>
      <x v="27"/>
    </i>
    <i>
      <x v="29"/>
    </i>
    <i>
      <x v="6"/>
    </i>
    <i>
      <x v="36"/>
    </i>
    <i>
      <x v="21"/>
    </i>
    <i>
      <x v="16"/>
    </i>
    <i>
      <x v="14"/>
    </i>
    <i>
      <x v="7"/>
    </i>
    <i>
      <x v="26"/>
    </i>
    <i>
      <x v="17"/>
    </i>
    <i>
      <x v="12"/>
    </i>
    <i>
      <x v="35"/>
    </i>
    <i>
      <x v="33"/>
    </i>
    <i>
      <x v="24"/>
    </i>
    <i>
      <x v="15"/>
    </i>
    <i>
      <x v="37"/>
    </i>
    <i>
      <x v="28"/>
    </i>
    <i>
      <x/>
    </i>
    <i>
      <x v="10"/>
    </i>
    <i>
      <x v="30"/>
    </i>
    <i>
      <x v="32"/>
    </i>
    <i>
      <x v="5"/>
    </i>
    <i>
      <x v="25"/>
    </i>
    <i>
      <x v="2"/>
    </i>
    <i>
      <x v="1"/>
    </i>
    <i>
      <x v="39"/>
    </i>
    <i>
      <x v="9"/>
    </i>
    <i>
      <x v="18"/>
    </i>
    <i>
      <x v="34"/>
    </i>
    <i>
      <x v="31"/>
    </i>
    <i>
      <x v="11"/>
    </i>
    <i t="grand">
      <x/>
    </i>
  </rowItems>
  <colItems count="1">
    <i/>
  </colItems>
  <dataFields count="1">
    <dataField name="Sum of Daily_Change_Perce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D55AF-BB83-4667-8F9E-2AAC142ED3A8}"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4:J45" firstHeaderRow="1" firstDataRow="1" firstDataCol="1"/>
  <pivotFields count="26">
    <pivotField axis="axisRow"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f="1" x="39"/>
        <item t="default"/>
      </items>
    </pivotField>
    <pivotField numFmtId="14" showAll="0"/>
    <pivotField showAll="0"/>
    <pivotField showAll="0"/>
    <pivotField showAll="0"/>
    <pivotField showAll="0"/>
    <pivotField showAll="0">
      <items count="30">
        <item x="11"/>
        <item h="1" x="26"/>
        <item h="1" x="3"/>
        <item h="1" x="15"/>
        <item x="13"/>
        <item h="1" x="17"/>
        <item h="1" x="2"/>
        <item x="4"/>
        <item x="16"/>
        <item x="5"/>
        <item x="9"/>
        <item x="18"/>
        <item x="28"/>
        <item x="8"/>
        <item x="12"/>
        <item x="14"/>
        <item x="19"/>
        <item x="0"/>
        <item x="7"/>
        <item x="10"/>
        <item h="1" x="20"/>
        <item x="21"/>
        <item x="27"/>
        <item x="23"/>
        <item x="22"/>
        <item x="1"/>
        <item x="24"/>
        <item x="25"/>
        <item x="6"/>
        <item t="default"/>
      </items>
    </pivotField>
    <pivotField showAll="0">
      <items count="31">
        <item x="29"/>
        <item h="1" x="21"/>
        <item h="1" x="1"/>
        <item h="1" x="12"/>
        <item h="1" x="14"/>
        <item h="1" x="15"/>
        <item h="1" x="18"/>
        <item h="1" x="19"/>
        <item h="1" x="16"/>
        <item h="1" x="4"/>
        <item h="1" x="20"/>
        <item h="1" x="3"/>
        <item h="1" x="5"/>
        <item h="1" x="9"/>
        <item h="1" x="2"/>
        <item h="1" x="0"/>
        <item h="1" x="17"/>
        <item h="1" x="13"/>
        <item h="1" x="22"/>
        <item h="1" x="8"/>
        <item h="1" x="23"/>
        <item h="1" x="7"/>
        <item h="1" x="11"/>
        <item h="1" x="6"/>
        <item h="1" x="28"/>
        <item h="1" x="10"/>
        <item h="1" x="26"/>
        <item h="1" x="25"/>
        <item h="1" x="24"/>
        <item h="1" x="2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Government_Debt_GDP_Percent" fld="1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40B2BF-AA5C-41D9-B1AA-AD0C1E37CE09}"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4:G45" firstHeaderRow="0" firstDataRow="1" firstDataCol="1"/>
  <pivotFields count="26">
    <pivotField axis="axisRow"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f="1" x="39"/>
        <item t="default"/>
      </items>
    </pivotField>
    <pivotField numFmtId="14" showAll="0"/>
    <pivotField showAll="0"/>
    <pivotField showAll="0"/>
    <pivotField showAll="0"/>
    <pivotField showAll="0"/>
    <pivotField showAll="0">
      <items count="30">
        <item x="11"/>
        <item h="1" x="26"/>
        <item h="1" x="3"/>
        <item h="1" x="15"/>
        <item x="13"/>
        <item h="1" x="17"/>
        <item h="1" x="2"/>
        <item x="4"/>
        <item x="16"/>
        <item x="5"/>
        <item x="9"/>
        <item x="18"/>
        <item x="28"/>
        <item x="8"/>
        <item x="12"/>
        <item x="14"/>
        <item x="19"/>
        <item x="0"/>
        <item x="7"/>
        <item x="10"/>
        <item h="1" x="20"/>
        <item x="21"/>
        <item x="27"/>
        <item x="23"/>
        <item x="22"/>
        <item x="1"/>
        <item x="24"/>
        <item x="25"/>
        <item x="6"/>
        <item t="default"/>
      </items>
    </pivotField>
    <pivotField showAll="0">
      <items count="31">
        <item x="29"/>
        <item h="1" x="21"/>
        <item h="1" x="1"/>
        <item h="1" x="12"/>
        <item h="1" x="14"/>
        <item h="1" x="15"/>
        <item h="1" x="18"/>
        <item h="1" x="19"/>
        <item h="1" x="16"/>
        <item h="1" x="4"/>
        <item h="1" x="20"/>
        <item h="1" x="3"/>
        <item h="1" x="5"/>
        <item h="1" x="9"/>
        <item h="1" x="2"/>
        <item h="1" x="0"/>
        <item h="1" x="17"/>
        <item h="1" x="13"/>
        <item h="1" x="22"/>
        <item h="1" x="8"/>
        <item h="1" x="23"/>
        <item h="1" x="7"/>
        <item h="1" x="11"/>
        <item h="1" x="6"/>
        <item h="1" x="28"/>
        <item h="1" x="10"/>
        <item h="1" x="26"/>
        <item h="1" x="25"/>
        <item h="1" x="24"/>
        <item h="1" x="2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name="Sum of Unemployment_Rate_Percent" fld="9" baseField="0" baseItem="0"/>
    <dataField name="Sum of Interest_Rate_Percent"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27E958-7BCF-4DE7-8732-28A61760134B}"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7" firstHeaderRow="1" firstDataRow="1" firstDataCol="1"/>
  <pivotFields count="26">
    <pivotField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f="1" x="39"/>
        <item t="default"/>
      </items>
    </pivotField>
    <pivotField numFmtId="14" showAll="0"/>
    <pivotField showAll="0"/>
    <pivotField showAll="0"/>
    <pivotField showAll="0"/>
    <pivotField showAll="0"/>
    <pivotField axis="axisRow" showAll="0">
      <items count="30">
        <item x="11"/>
        <item h="1" x="26"/>
        <item h="1" x="3"/>
        <item h="1" x="15"/>
        <item x="13"/>
        <item h="1" x="17"/>
        <item h="1" x="2"/>
        <item x="4"/>
        <item x="16"/>
        <item x="5"/>
        <item x="9"/>
        <item x="18"/>
        <item x="28"/>
        <item x="8"/>
        <item x="12"/>
        <item x="14"/>
        <item x="19"/>
        <item x="0"/>
        <item x="7"/>
        <item x="10"/>
        <item h="1" x="20"/>
        <item x="21"/>
        <item x="27"/>
        <item x="23"/>
        <item x="22"/>
        <item x="1"/>
        <item x="24"/>
        <item x="25"/>
        <item x="6"/>
        <item t="default"/>
      </items>
    </pivotField>
    <pivotField dataField="1" showAll="0">
      <items count="31">
        <item x="29"/>
        <item h="1" x="21"/>
        <item h="1" x="1"/>
        <item h="1" x="12"/>
        <item h="1" x="14"/>
        <item h="1" x="15"/>
        <item h="1" x="18"/>
        <item h="1" x="19"/>
        <item h="1" x="16"/>
        <item h="1" x="4"/>
        <item h="1" x="20"/>
        <item h="1" x="3"/>
        <item h="1" x="5"/>
        <item h="1" x="9"/>
        <item h="1" x="2"/>
        <item h="1" x="0"/>
        <item h="1" x="17"/>
        <item h="1" x="13"/>
        <item h="1" x="22"/>
        <item h="1" x="8"/>
        <item h="1" x="23"/>
        <item h="1" x="7"/>
        <item h="1" x="11"/>
        <item h="1" x="6"/>
        <item h="1" x="28"/>
        <item h="1" x="10"/>
        <item h="1" x="26"/>
        <item h="1" x="25"/>
        <item h="1" x="24"/>
        <item h="1"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4">
    <i>
      <x/>
    </i>
    <i>
      <x v="4"/>
    </i>
    <i>
      <x v="7"/>
    </i>
    <i>
      <x v="8"/>
    </i>
    <i>
      <x v="9"/>
    </i>
    <i>
      <x v="10"/>
    </i>
    <i>
      <x v="11"/>
    </i>
    <i>
      <x v="12"/>
    </i>
    <i>
      <x v="13"/>
    </i>
    <i>
      <x v="14"/>
    </i>
    <i>
      <x v="15"/>
    </i>
    <i>
      <x v="16"/>
    </i>
    <i>
      <x v="17"/>
    </i>
    <i>
      <x v="18"/>
    </i>
    <i>
      <x v="19"/>
    </i>
    <i>
      <x v="21"/>
    </i>
    <i>
      <x v="22"/>
    </i>
    <i>
      <x v="23"/>
    </i>
    <i>
      <x v="24"/>
    </i>
    <i>
      <x v="25"/>
    </i>
    <i>
      <x v="26"/>
    </i>
    <i>
      <x v="27"/>
    </i>
    <i>
      <x v="28"/>
    </i>
    <i t="grand">
      <x/>
    </i>
  </rowItems>
  <colItems count="1">
    <i/>
  </colItems>
  <dataFields count="1">
    <dataField name="Sum of Inflation_Rate_Percent"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ACBD2B-86E6-4A39-AC56-EEF06BE7D047}" name="PivotTable2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J6" firstHeaderRow="0" firstDataRow="1" firstDataCol="1"/>
  <pivotFields count="26">
    <pivotField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x="39"/>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Sum of Oil_Price_USD_Barrel" fld="17" baseField="0" baseItem="0"/>
    <dataField name="Sum of Gold_Price_USD_Ounce" fld="18"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529138-2530-4F82-B7C5-C2275941868A}" name="PivotTable1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G6" firstHeaderRow="1" firstDataRow="1" firstDataCol="1"/>
  <pivotFields count="26">
    <pivotField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x="39"/>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Current_Account_Balance_Billion_USD" fld="14" baseField="0" baseItem="0"/>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29DDE0-19EE-4768-A4CA-D48FFD374C67}" name="PivotTable1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44" firstHeaderRow="0" firstDataRow="1" firstDataCol="1"/>
  <pivotFields count="26">
    <pivotField axis="axisRow"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2">
    <i>
      <x/>
    </i>
    <i i="1">
      <x v="1"/>
    </i>
  </colItems>
  <dataFields count="2">
    <dataField name="Sum of Import_Growth_Percent" fld="25" baseField="0" baseItem="0"/>
    <dataField name="Sum of Export_Growth_Percent" fld="2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4F29DF-EDD5-438E-A4D7-E1ACB675BCA9}" name="PivotTable2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6:J47" firstHeaderRow="1" firstDataRow="1" firstDataCol="1"/>
  <pivotFields count="26">
    <pivotField axis="axisRow"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x="39"/>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6">
        <item x="7"/>
        <item x="10"/>
        <item x="1"/>
        <item x="2"/>
        <item x="8"/>
        <item x="0"/>
        <item x="12"/>
        <item x="11"/>
        <item x="4"/>
        <item x="5"/>
        <item x="6"/>
        <item x="3"/>
        <item x="9"/>
        <item x="13"/>
        <item x="14"/>
        <item t="default"/>
      </items>
    </pivotField>
    <pivotField showAll="0"/>
    <pivotField dataField="1" showAll="0">
      <items count="5">
        <item x="1"/>
        <item x="0"/>
        <item x="2"/>
        <item x="3"/>
        <item t="default"/>
      </items>
    </pivotField>
    <pivotField showAll="0"/>
    <pivotField showAll="0"/>
    <pivotField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Count of Banking_Sector_Health" fld="22" subtotal="count"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94D4D0-D376-45C7-B700-D911F9184E76}" name="PivotTable2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F44" firstHeaderRow="1" firstDataRow="1" firstDataCol="1"/>
  <pivotFields count="26">
    <pivotField axis="axisRow" showAll="0">
      <items count="41">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6">
        <item x="7"/>
        <item x="10"/>
        <item x="1"/>
        <item x="2"/>
        <item x="8"/>
        <item x="0"/>
        <item x="12"/>
        <item x="11"/>
        <item x="4"/>
        <item x="5"/>
        <item x="6"/>
        <item x="3"/>
        <item x="9"/>
        <item x="13"/>
        <item x="14"/>
        <item t="default"/>
      </items>
    </pivotField>
    <pivotField dataField="1" showAll="0"/>
    <pivotField showAll="0"/>
    <pivotField showAll="0"/>
    <pivotField showAll="0"/>
    <pivotField showAll="0"/>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Political_Risk_Score" fld="2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3DB95E-0E8E-4078-8AD3-284431C0F0B7}" name="PivotTable2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9"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7"/>
        <item x="10"/>
        <item x="1"/>
        <item x="2"/>
        <item x="8"/>
        <item x="0"/>
        <item x="12"/>
        <item x="11"/>
        <item x="4"/>
        <item x="5"/>
        <item x="6"/>
        <item x="3"/>
        <item x="9"/>
        <item x="13"/>
        <item x="14"/>
        <item t="default"/>
      </items>
    </pivotField>
    <pivotField showAll="0"/>
    <pivotField showAll="0"/>
    <pivotField showAll="0"/>
    <pivotField showAll="0"/>
    <pivotField showAll="0"/>
  </pivotFields>
  <rowFields count="1">
    <field x="20"/>
  </rowFields>
  <rowItems count="16">
    <i>
      <x/>
    </i>
    <i>
      <x v="1"/>
    </i>
    <i>
      <x v="2"/>
    </i>
    <i>
      <x v="3"/>
    </i>
    <i>
      <x v="4"/>
    </i>
    <i>
      <x v="5"/>
    </i>
    <i>
      <x v="6"/>
    </i>
    <i>
      <x v="7"/>
    </i>
    <i>
      <x v="8"/>
    </i>
    <i>
      <x v="9"/>
    </i>
    <i>
      <x v="10"/>
    </i>
    <i>
      <x v="11"/>
    </i>
    <i>
      <x v="12"/>
    </i>
    <i>
      <x v="13"/>
    </i>
    <i>
      <x v="14"/>
    </i>
    <i t="grand">
      <x/>
    </i>
  </rowItems>
  <colItems count="1">
    <i/>
  </colItems>
  <dataFields count="1">
    <dataField name="Count of Country" fld="0" subtotal="count" baseField="0" baseItem="0"/>
  </dataFields>
  <chartFormats count="33">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20" count="1" selected="0">
            <x v="0"/>
          </reference>
        </references>
      </pivotArea>
    </chartFormat>
    <chartFormat chart="2" format="19">
      <pivotArea type="data" outline="0" fieldPosition="0">
        <references count="2">
          <reference field="4294967294" count="1" selected="0">
            <x v="0"/>
          </reference>
          <reference field="20" count="1" selected="0">
            <x v="1"/>
          </reference>
        </references>
      </pivotArea>
    </chartFormat>
    <chartFormat chart="2" format="20">
      <pivotArea type="data" outline="0" fieldPosition="0">
        <references count="2">
          <reference field="4294967294" count="1" selected="0">
            <x v="0"/>
          </reference>
          <reference field="20" count="1" selected="0">
            <x v="2"/>
          </reference>
        </references>
      </pivotArea>
    </chartFormat>
    <chartFormat chart="2" format="21">
      <pivotArea type="data" outline="0" fieldPosition="0">
        <references count="2">
          <reference field="4294967294" count="1" selected="0">
            <x v="0"/>
          </reference>
          <reference field="20" count="1" selected="0">
            <x v="3"/>
          </reference>
        </references>
      </pivotArea>
    </chartFormat>
    <chartFormat chart="2" format="22">
      <pivotArea type="data" outline="0" fieldPosition="0">
        <references count="2">
          <reference field="4294967294" count="1" selected="0">
            <x v="0"/>
          </reference>
          <reference field="20" count="1" selected="0">
            <x v="4"/>
          </reference>
        </references>
      </pivotArea>
    </chartFormat>
    <chartFormat chart="2" format="23">
      <pivotArea type="data" outline="0" fieldPosition="0">
        <references count="2">
          <reference field="4294967294" count="1" selected="0">
            <x v="0"/>
          </reference>
          <reference field="20" count="1" selected="0">
            <x v="5"/>
          </reference>
        </references>
      </pivotArea>
    </chartFormat>
    <chartFormat chart="2" format="24">
      <pivotArea type="data" outline="0" fieldPosition="0">
        <references count="2">
          <reference field="4294967294" count="1" selected="0">
            <x v="0"/>
          </reference>
          <reference field="20" count="1" selected="0">
            <x v="6"/>
          </reference>
        </references>
      </pivotArea>
    </chartFormat>
    <chartFormat chart="2" format="25">
      <pivotArea type="data" outline="0" fieldPosition="0">
        <references count="2">
          <reference field="4294967294" count="1" selected="0">
            <x v="0"/>
          </reference>
          <reference field="20" count="1" selected="0">
            <x v="7"/>
          </reference>
        </references>
      </pivotArea>
    </chartFormat>
    <chartFormat chart="2" format="26">
      <pivotArea type="data" outline="0" fieldPosition="0">
        <references count="2">
          <reference field="4294967294" count="1" selected="0">
            <x v="0"/>
          </reference>
          <reference field="20" count="1" selected="0">
            <x v="8"/>
          </reference>
        </references>
      </pivotArea>
    </chartFormat>
    <chartFormat chart="2" format="27">
      <pivotArea type="data" outline="0" fieldPosition="0">
        <references count="2">
          <reference field="4294967294" count="1" selected="0">
            <x v="0"/>
          </reference>
          <reference field="20" count="1" selected="0">
            <x v="9"/>
          </reference>
        </references>
      </pivotArea>
    </chartFormat>
    <chartFormat chart="2" format="28">
      <pivotArea type="data" outline="0" fieldPosition="0">
        <references count="2">
          <reference field="4294967294" count="1" selected="0">
            <x v="0"/>
          </reference>
          <reference field="20" count="1" selected="0">
            <x v="10"/>
          </reference>
        </references>
      </pivotArea>
    </chartFormat>
    <chartFormat chart="2" format="29">
      <pivotArea type="data" outline="0" fieldPosition="0">
        <references count="2">
          <reference field="4294967294" count="1" selected="0">
            <x v="0"/>
          </reference>
          <reference field="20" count="1" selected="0">
            <x v="11"/>
          </reference>
        </references>
      </pivotArea>
    </chartFormat>
    <chartFormat chart="2" format="30">
      <pivotArea type="data" outline="0" fieldPosition="0">
        <references count="2">
          <reference field="4294967294" count="1" selected="0">
            <x v="0"/>
          </reference>
          <reference field="20" count="1" selected="0">
            <x v="12"/>
          </reference>
        </references>
      </pivotArea>
    </chartFormat>
    <chartFormat chart="2" format="31">
      <pivotArea type="data" outline="0" fieldPosition="0">
        <references count="2">
          <reference field="4294967294" count="1" selected="0">
            <x v="0"/>
          </reference>
          <reference field="20" count="1" selected="0">
            <x v="13"/>
          </reference>
        </references>
      </pivotArea>
    </chartFormat>
    <chartFormat chart="2" format="32">
      <pivotArea type="data" outline="0" fieldPosition="0">
        <references count="2">
          <reference field="4294967294" count="1" selected="0">
            <x v="0"/>
          </reference>
          <reference field="20" count="1" selected="0">
            <x v="14"/>
          </reference>
        </references>
      </pivotArea>
    </chartFormat>
    <chartFormat chart="11" format="49" series="1">
      <pivotArea type="data" outline="0" fieldPosition="0">
        <references count="1">
          <reference field="4294967294" count="1" selected="0">
            <x v="0"/>
          </reference>
        </references>
      </pivotArea>
    </chartFormat>
    <chartFormat chart="11" format="50">
      <pivotArea type="data" outline="0" fieldPosition="0">
        <references count="2">
          <reference field="4294967294" count="1" selected="0">
            <x v="0"/>
          </reference>
          <reference field="20" count="1" selected="0">
            <x v="0"/>
          </reference>
        </references>
      </pivotArea>
    </chartFormat>
    <chartFormat chart="11" format="51">
      <pivotArea type="data" outline="0" fieldPosition="0">
        <references count="2">
          <reference field="4294967294" count="1" selected="0">
            <x v="0"/>
          </reference>
          <reference field="20" count="1" selected="0">
            <x v="1"/>
          </reference>
        </references>
      </pivotArea>
    </chartFormat>
    <chartFormat chart="11" format="52">
      <pivotArea type="data" outline="0" fieldPosition="0">
        <references count="2">
          <reference field="4294967294" count="1" selected="0">
            <x v="0"/>
          </reference>
          <reference field="20" count="1" selected="0">
            <x v="2"/>
          </reference>
        </references>
      </pivotArea>
    </chartFormat>
    <chartFormat chart="11" format="53">
      <pivotArea type="data" outline="0" fieldPosition="0">
        <references count="2">
          <reference field="4294967294" count="1" selected="0">
            <x v="0"/>
          </reference>
          <reference field="20" count="1" selected="0">
            <x v="3"/>
          </reference>
        </references>
      </pivotArea>
    </chartFormat>
    <chartFormat chart="11" format="54">
      <pivotArea type="data" outline="0" fieldPosition="0">
        <references count="2">
          <reference field="4294967294" count="1" selected="0">
            <x v="0"/>
          </reference>
          <reference field="20" count="1" selected="0">
            <x v="4"/>
          </reference>
        </references>
      </pivotArea>
    </chartFormat>
    <chartFormat chart="11" format="55">
      <pivotArea type="data" outline="0" fieldPosition="0">
        <references count="2">
          <reference field="4294967294" count="1" selected="0">
            <x v="0"/>
          </reference>
          <reference field="20" count="1" selected="0">
            <x v="5"/>
          </reference>
        </references>
      </pivotArea>
    </chartFormat>
    <chartFormat chart="11" format="56">
      <pivotArea type="data" outline="0" fieldPosition="0">
        <references count="2">
          <reference field="4294967294" count="1" selected="0">
            <x v="0"/>
          </reference>
          <reference field="20" count="1" selected="0">
            <x v="6"/>
          </reference>
        </references>
      </pivotArea>
    </chartFormat>
    <chartFormat chart="11" format="57">
      <pivotArea type="data" outline="0" fieldPosition="0">
        <references count="2">
          <reference field="4294967294" count="1" selected="0">
            <x v="0"/>
          </reference>
          <reference field="20" count="1" selected="0">
            <x v="7"/>
          </reference>
        </references>
      </pivotArea>
    </chartFormat>
    <chartFormat chart="11" format="58">
      <pivotArea type="data" outline="0" fieldPosition="0">
        <references count="2">
          <reference field="4294967294" count="1" selected="0">
            <x v="0"/>
          </reference>
          <reference field="20" count="1" selected="0">
            <x v="8"/>
          </reference>
        </references>
      </pivotArea>
    </chartFormat>
    <chartFormat chart="11" format="59">
      <pivotArea type="data" outline="0" fieldPosition="0">
        <references count="2">
          <reference field="4294967294" count="1" selected="0">
            <x v="0"/>
          </reference>
          <reference field="20" count="1" selected="0">
            <x v="9"/>
          </reference>
        </references>
      </pivotArea>
    </chartFormat>
    <chartFormat chart="11" format="60">
      <pivotArea type="data" outline="0" fieldPosition="0">
        <references count="2">
          <reference field="4294967294" count="1" selected="0">
            <x v="0"/>
          </reference>
          <reference field="20" count="1" selected="0">
            <x v="10"/>
          </reference>
        </references>
      </pivotArea>
    </chartFormat>
    <chartFormat chart="11" format="61">
      <pivotArea type="data" outline="0" fieldPosition="0">
        <references count="2">
          <reference field="4294967294" count="1" selected="0">
            <x v="0"/>
          </reference>
          <reference field="20" count="1" selected="0">
            <x v="11"/>
          </reference>
        </references>
      </pivotArea>
    </chartFormat>
    <chartFormat chart="11" format="62">
      <pivotArea type="data" outline="0" fieldPosition="0">
        <references count="2">
          <reference field="4294967294" count="1" selected="0">
            <x v="0"/>
          </reference>
          <reference field="20" count="1" selected="0">
            <x v="12"/>
          </reference>
        </references>
      </pivotArea>
    </chartFormat>
    <chartFormat chart="11" format="63">
      <pivotArea type="data" outline="0" fieldPosition="0">
        <references count="2">
          <reference field="4294967294" count="1" selected="0">
            <x v="0"/>
          </reference>
          <reference field="20" count="1" selected="0">
            <x v="13"/>
          </reference>
        </references>
      </pivotArea>
    </chartFormat>
    <chartFormat chart="11" format="64">
      <pivotArea type="data" outline="0" fieldPosition="0">
        <references count="2">
          <reference field="4294967294" count="1" selected="0">
            <x v="0"/>
          </reference>
          <reference field="2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B3AD01-DAE7-4C86-8486-0EB420105D04}" autoFormatId="16" applyNumberFormats="0" applyBorderFormats="0" applyFontFormats="0" applyPatternFormats="0" applyAlignmentFormats="0" applyWidthHeightFormats="0">
  <queryTableRefresh nextId="27">
    <queryTableFields count="26">
      <queryTableField id="1" name="Country" tableColumnId="1"/>
      <queryTableField id="2" name="Date" tableColumnId="2"/>
      <queryTableField id="3" name="Stock_Index" tableColumnId="3"/>
      <queryTableField id="4" name="Index_Value" tableColumnId="4"/>
      <queryTableField id="5" name="Daily_Change_Percent" tableColumnId="5"/>
      <queryTableField id="6" name="Market_Cap_Trillion_USD" tableColumnId="6"/>
      <queryTableField id="7" name="GDP_Growth_Rate_Percent" tableColumnId="7"/>
      <queryTableField id="8" name="Inflation_Rate_Percent" tableColumnId="8"/>
      <queryTableField id="9" name="Interest_Rate_Percent" tableColumnId="9"/>
      <queryTableField id="10" name="Unemployment_Rate_Percent" tableColumnId="10"/>
      <queryTableField id="11" name="Currency_Code" tableColumnId="11"/>
      <queryTableField id="12" name="Exchange_Rate_USD" tableColumnId="12"/>
      <queryTableField id="13" name="Currency_Change_YTD_Percent" tableColumnId="13"/>
      <queryTableField id="14" name="Government_Debt_GDP_Percent" tableColumnId="14"/>
      <queryTableField id="15" name="Current_Account_Balance_Billion_USD" tableColumnId="15"/>
      <queryTableField id="16" name="FDI_Inflow_Billion_USD" tableColumnId="16"/>
      <queryTableField id="17" name="Commodity_Index" tableColumnId="17"/>
      <queryTableField id="18" name="Oil_Price_USD_Barrel" tableColumnId="18"/>
      <queryTableField id="19" name="Gold_Price_USD_Ounce" tableColumnId="19"/>
      <queryTableField id="20" name="Bond_Yield_10Y_Percent" tableColumnId="20"/>
      <queryTableField id="21" name="Credit_Rating" tableColumnId="21"/>
      <queryTableField id="22" name="Political_Risk_Score" tableColumnId="22"/>
      <queryTableField id="23" name="Banking_Sector_Health" tableColumnId="23"/>
      <queryTableField id="24" name="Real_Estate_Index" tableColumnId="24"/>
      <queryTableField id="25" name="Export_Growth_Percent" tableColumnId="25"/>
      <queryTableField id="26" name="Import_Growth_Percent"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0CDBF08-F030-4678-B881-4547E10CBAAE}" sourceName="Country">
  <pivotTables>
    <pivotTable tabId="15" name="PivotTable23"/>
  </pivotTables>
  <data>
    <tabular pivotCacheId="1003300566">
      <items count="40">
        <i x="33" s="1"/>
        <i x="9" s="1"/>
        <i x="8" s="1"/>
        <i x="7" s="1"/>
        <i x="32" s="1"/>
        <i x="1" s="1"/>
        <i x="34" s="1"/>
        <i x="19" s="1"/>
        <i x="30" s="1"/>
        <i x="5" s="1"/>
        <i x="3" s="1"/>
        <i x="21" s="1"/>
        <i x="6" s="1"/>
        <i x="23" s="1"/>
        <i x="38" s="1"/>
        <i x="13" s="1"/>
        <i x="2" s="1"/>
        <i x="25" s="1"/>
        <i x="12" s="1"/>
        <i x="15" s="1"/>
        <i x="31" s="1"/>
        <i x="18" s="1"/>
        <i x="35" s="1"/>
        <i x="26" s="1"/>
        <i x="11" s="1"/>
        <i x="37" s="1"/>
        <i x="20" s="1"/>
        <i x="29" s="1"/>
        <i x="10" s="1"/>
        <i x="14" s="1"/>
        <i x="17" s="1"/>
        <i x="16" s="1"/>
        <i x="22" s="1"/>
        <i x="24" s="1"/>
        <i x="28" s="1"/>
        <i x="36" s="1"/>
        <i x="4" s="1"/>
        <i x="0" s="1"/>
        <i x="27" s="1"/>
        <i x="3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6702DCB-B0C1-4924-9B96-3FD86F411C27}" sourceName="Date">
  <pivotTables>
    <pivotTable tabId="15" name="PivotTable23"/>
  </pivotTables>
  <data>
    <tabular pivotCacheId="1003300566">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293D411-6514-422E-A07E-29E93D986D0F}" cache="Slicer_Country" caption="Country" rowHeight="234950"/>
  <slicer name="Date" xr10:uid="{64A4AA9D-9EB7-463A-8942-F181053F8414}" cache="Slicer_Date" caption="Dat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A86721-6173-49B8-B08C-1F73BF1BB730}" name="Table4" displayName="Table4" ref="A3:Z42" totalsRowShown="0">
  <autoFilter ref="A3:Z42" xr:uid="{93A86721-6173-49B8-B08C-1F73BF1BB730}"/>
  <tableColumns count="26">
    <tableColumn id="1" xr3:uid="{A5BC3080-C002-4E01-B91A-8528EB012E7E}" name="Country"/>
    <tableColumn id="2" xr3:uid="{0C05F8DE-03F8-4F98-9345-02548846A1EF}" name="Date" dataDxfId="0"/>
    <tableColumn id="3" xr3:uid="{0511CFC8-0FB0-45D5-A1CC-DF09A4B9C531}" name="Stock_Index"/>
    <tableColumn id="4" xr3:uid="{2BD5B3CB-E775-483E-A9AB-426835832C02}" name="Index_Value"/>
    <tableColumn id="5" xr3:uid="{F33C94D3-E70C-45CE-BC3B-D946924CCEAC}" name="Daily_Change_Percent"/>
    <tableColumn id="6" xr3:uid="{9B4BA14A-5223-44E9-9838-0467146D7FF1}" name="Market_Cap_Trillion_USD"/>
    <tableColumn id="7" xr3:uid="{BC103C66-2815-47FD-8ACC-3211E7EE8B1D}" name="GDP_Growth_Rate_Percent"/>
    <tableColumn id="8" xr3:uid="{39FD2D5F-4BF2-4A54-B479-DD6BCFD34140}" name="Inflation_Rate_Percent"/>
    <tableColumn id="9" xr3:uid="{ED207597-CA39-4CB6-B59F-D070243335DC}" name="Interest_Rate_Percent"/>
    <tableColumn id="10" xr3:uid="{645FA5E6-9E45-4B8E-A226-4952E607CFB3}" name="Unemployment_Rate_Percent"/>
    <tableColumn id="11" xr3:uid="{52F2D61B-66E1-4855-8AF1-32B89AC4B6B3}" name="Currency_Code"/>
    <tableColumn id="12" xr3:uid="{3853B326-A8F1-4049-B09F-C17F09C1A638}" name="Exchange_Rate_USD"/>
    <tableColumn id="13" xr3:uid="{7CC231FD-7287-4D18-9FDB-B9DD29980309}" name="Currency_Change_YTD_Percent"/>
    <tableColumn id="14" xr3:uid="{3D0FD607-6EE6-4F2E-9675-8BB99BDCD566}" name="Government_Debt_GDP_Percent"/>
    <tableColumn id="15" xr3:uid="{07BC095B-6EDB-4A5C-9ECC-76F8BA0B9E17}" name="Current_Account_Balance_Billion_USD"/>
    <tableColumn id="16" xr3:uid="{B28E031B-EF55-4BA0-9459-E730D4981FD3}" name="FDI_Inflow_Billion_USD"/>
    <tableColumn id="17" xr3:uid="{D8174632-DC40-4FEB-A46C-D166F32F3192}" name="Commodity_Index"/>
    <tableColumn id="18" xr3:uid="{B410179C-5618-4CD5-97CC-D38B6AC24ED5}" name="Oil_Price_USD_Barrel"/>
    <tableColumn id="19" xr3:uid="{4581FE60-F7D5-4926-AFB0-51954DFE98E4}" name="Gold_Price_USD_Ounce"/>
    <tableColumn id="20" xr3:uid="{6D5E8698-9A45-43ED-B1EE-5A571F12468F}" name="Bond_Yield_10Y_Percent"/>
    <tableColumn id="21" xr3:uid="{8B971866-4820-4506-B652-525DDDBD3A54}" name="Credit_Rating"/>
    <tableColumn id="22" xr3:uid="{188F0AD9-905B-4DE4-B4D2-BA50999B4870}" name="Political_Risk_Score"/>
    <tableColumn id="23" xr3:uid="{04380480-DC6D-46F5-8570-7D3D12B705FF}" name="Banking_Sector_Health"/>
    <tableColumn id="24" xr3:uid="{A4160CC9-1AA9-4B3F-9151-65F92E2E1ED6}" name="Real_Estate_Index"/>
    <tableColumn id="25" xr3:uid="{78CF25CB-B64B-4D3A-8471-DFF794F8C318}" name="Export_Growth_Percent"/>
    <tableColumn id="26" xr3:uid="{056F8640-B131-4F7D-8890-5CC0C248A4EB}" name="Import_Growth_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61DE82-E7A6-4B27-96C5-F005A88D63F5}" name="Global_finance_data" displayName="Global_finance_data" ref="A1:Z40" tableType="queryTable" totalsRowShown="0">
  <autoFilter ref="A1:Z40" xr:uid="{F161DE82-E7A6-4B27-96C5-F005A88D63F5}"/>
  <tableColumns count="26">
    <tableColumn id="1" xr3:uid="{87448E7E-9DC4-4A66-9367-68A9DA8B4D0C}" uniqueName="1" name="Country" queryTableFieldId="1" dataDxfId="6"/>
    <tableColumn id="2" xr3:uid="{A83E1DE1-C441-4632-8151-EDB3A892B64B}" uniqueName="2" name="Date" queryTableFieldId="2" dataDxfId="5"/>
    <tableColumn id="3" xr3:uid="{85F7DE21-69ED-4BFF-9370-F2AA959CADBB}" uniqueName="3" name="Stock_Index" queryTableFieldId="3" dataDxfId="4"/>
    <tableColumn id="4" xr3:uid="{4302822E-A7A3-4BB6-B93D-B449586B9A8E}" uniqueName="4" name="Index_Value" queryTableFieldId="4"/>
    <tableColumn id="5" xr3:uid="{B071DEF0-6EBA-42F4-B5D3-387A01AAFB33}" uniqueName="5" name="Daily_Change_Percent" queryTableFieldId="5"/>
    <tableColumn id="6" xr3:uid="{C1F165FC-E56E-4A28-8DE6-23FAF9AF7C5C}" uniqueName="6" name="Market_Cap_Trillion_USD" queryTableFieldId="6"/>
    <tableColumn id="7" xr3:uid="{755980F3-8340-4636-9187-D9AF3B1306F6}" uniqueName="7" name="GDP_Growth_Rate_Percent" queryTableFieldId="7"/>
    <tableColumn id="8" xr3:uid="{5A982BB9-A0BC-4AC6-9F05-FAF2BB8B1790}" uniqueName="8" name="Inflation_Rate_Percent" queryTableFieldId="8"/>
    <tableColumn id="9" xr3:uid="{6E20C3BC-80B4-4430-B3D2-263D2CEAFB75}" uniqueName="9" name="Interest_Rate_Percent" queryTableFieldId="9"/>
    <tableColumn id="10" xr3:uid="{C8A6E9F1-FB96-4704-9EEB-4E1169ABFF12}" uniqueName="10" name="Unemployment_Rate_Percent" queryTableFieldId="10"/>
    <tableColumn id="11" xr3:uid="{F2EC4B27-2C54-4C94-80CC-A495BD9090A7}" uniqueName="11" name="Currency_Code" queryTableFieldId="11" dataDxfId="3"/>
    <tableColumn id="12" xr3:uid="{B5A32DCC-1B96-431F-8D2A-CA1E8DDD5D3D}" uniqueName="12" name="Exchange_Rate_USD" queryTableFieldId="12"/>
    <tableColumn id="13" xr3:uid="{9EB4F567-A8A1-4551-BA01-2E5BC884E9EC}" uniqueName="13" name="Currency_Change_YTD_Percent" queryTableFieldId="13"/>
    <tableColumn id="14" xr3:uid="{38AF31E4-7A09-4A82-B15E-DB116016536A}" uniqueName="14" name="Government_Debt_GDP_Percent" queryTableFieldId="14"/>
    <tableColumn id="15" xr3:uid="{CE21DF69-42AB-425F-A58F-1DF01D232EC0}" uniqueName="15" name="Current_Account_Balance_Billion_USD" queryTableFieldId="15"/>
    <tableColumn id="16" xr3:uid="{FF75DF93-1C57-4B43-9EB9-9CEA94DE8531}" uniqueName="16" name="FDI_Inflow_Billion_USD" queryTableFieldId="16"/>
    <tableColumn id="17" xr3:uid="{81D372E5-C987-4BB3-AAEB-248D643A7800}" uniqueName="17" name="Commodity_Index" queryTableFieldId="17"/>
    <tableColumn id="18" xr3:uid="{EB3670A9-3E3A-4EB3-B861-7433282B466A}" uniqueName="18" name="Oil_Price_USD_Barrel" queryTableFieldId="18"/>
    <tableColumn id="19" xr3:uid="{1BC04968-0796-4936-BD32-C4AC7C168CB5}" uniqueName="19" name="Gold_Price_USD_Ounce" queryTableFieldId="19"/>
    <tableColumn id="20" xr3:uid="{68C50835-EC37-48C3-A6A1-0FECBE5E453B}" uniqueName="20" name="Bond_Yield_10Y_Percent" queryTableFieldId="20"/>
    <tableColumn id="21" xr3:uid="{4E35EA5E-B5FE-49C4-B206-3AFD9F055A40}" uniqueName="21" name="Credit_Rating" queryTableFieldId="21" dataDxfId="2"/>
    <tableColumn id="22" xr3:uid="{5E009FB4-F3FA-4D4E-BFE5-9A8D68D6DE35}" uniqueName="22" name="Political_Risk_Score" queryTableFieldId="22"/>
    <tableColumn id="23" xr3:uid="{9BB66425-329B-4851-B115-5DB97EB89C27}" uniqueName="23" name="Banking_Sector_Health" queryTableFieldId="23" dataDxfId="1"/>
    <tableColumn id="24" xr3:uid="{AF9C9CFA-9422-4CB6-B954-771ED014B6A5}" uniqueName="24" name="Real_Estate_Index" queryTableFieldId="24"/>
    <tableColumn id="25" xr3:uid="{2997F118-E352-4569-B5A4-1D5DF8D4DC41}" uniqueName="25" name="Export_Growth_Percent" queryTableFieldId="25"/>
    <tableColumn id="26" xr3:uid="{428CB86C-FB38-4BE2-AF0A-6C5F81F320E2}" uniqueName="26" name="Import_Growth_Percent"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1.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0F02-9035-4739-B868-B70B34CE7593}">
  <dimension ref="A1:M153"/>
  <sheetViews>
    <sheetView workbookViewId="0">
      <selection activeCell="F101" sqref="F101"/>
    </sheetView>
  </sheetViews>
  <sheetFormatPr defaultRowHeight="14.4"/>
  <cols>
    <col min="1" max="1" width="35.33203125" customWidth="1"/>
    <col min="8" max="8" width="45.33203125" customWidth="1"/>
  </cols>
  <sheetData>
    <row r="1" spans="1:13">
      <c r="A1" s="1"/>
      <c r="B1" s="1"/>
      <c r="H1" s="3" t="s">
        <v>0</v>
      </c>
      <c r="J1" s="3"/>
      <c r="K1" s="3"/>
      <c r="L1" s="3"/>
      <c r="M1" s="3"/>
    </row>
    <row r="2" spans="1:13">
      <c r="A2" s="1"/>
      <c r="H2" s="2" t="s">
        <v>1</v>
      </c>
      <c r="J2" s="3"/>
      <c r="K2" s="3"/>
    </row>
    <row r="3" spans="1:13">
      <c r="A3" s="1"/>
    </row>
    <row r="4" spans="1:13" ht="15">
      <c r="A4" s="4" t="s">
        <v>2</v>
      </c>
    </row>
    <row r="5" spans="1:13" ht="15">
      <c r="A5" s="5" t="s">
        <v>3</v>
      </c>
    </row>
    <row r="6" spans="1:13" ht="15">
      <c r="A6" s="5" t="s">
        <v>4</v>
      </c>
    </row>
    <row r="7" spans="1:13" ht="15">
      <c r="A7" s="4" t="s">
        <v>5</v>
      </c>
    </row>
    <row r="8" spans="1:13" ht="15">
      <c r="A8" s="4"/>
    </row>
    <row r="9" spans="1:13" ht="15">
      <c r="A9" s="5" t="s">
        <v>6</v>
      </c>
    </row>
    <row r="10" spans="1:13" ht="15">
      <c r="A10" s="4"/>
    </row>
    <row r="11" spans="1:13" ht="15">
      <c r="A11" s="4"/>
    </row>
    <row r="12" spans="1:13" ht="15">
      <c r="A12" s="4" t="s">
        <v>7</v>
      </c>
    </row>
    <row r="13" spans="1:13" ht="15">
      <c r="A13" s="4"/>
    </row>
    <row r="14" spans="1:13" ht="15">
      <c r="A14" s="4"/>
    </row>
    <row r="15" spans="1:13" ht="15">
      <c r="A15" s="5" t="s">
        <v>8</v>
      </c>
    </row>
    <row r="16" spans="1:13" ht="15">
      <c r="A16" s="4"/>
    </row>
    <row r="17" spans="1:1" ht="15">
      <c r="A17" s="4" t="s">
        <v>9</v>
      </c>
    </row>
    <row r="18" spans="1:1" ht="15">
      <c r="A18" s="4"/>
    </row>
    <row r="19" spans="1:1" ht="15">
      <c r="A19" s="4"/>
    </row>
    <row r="20" spans="1:1" ht="15">
      <c r="A20" s="5" t="s">
        <v>10</v>
      </c>
    </row>
    <row r="21" spans="1:1" ht="15">
      <c r="A21" s="4"/>
    </row>
    <row r="22" spans="1:1" ht="15">
      <c r="A22" s="4" t="s">
        <v>11</v>
      </c>
    </row>
    <row r="23" spans="1:1" ht="15">
      <c r="A23" s="4"/>
    </row>
    <row r="24" spans="1:1" ht="15">
      <c r="A24" s="5" t="s">
        <v>12</v>
      </c>
    </row>
    <row r="25" spans="1:1" ht="15">
      <c r="A25" s="4"/>
    </row>
    <row r="26" spans="1:1" ht="15">
      <c r="A26" s="4"/>
    </row>
    <row r="27" spans="1:1" ht="15">
      <c r="A27" s="4" t="s">
        <v>13</v>
      </c>
    </row>
    <row r="28" spans="1:1" ht="15">
      <c r="A28" s="4"/>
    </row>
    <row r="29" spans="1:1" ht="15">
      <c r="A29" s="4"/>
    </row>
    <row r="30" spans="1:1" ht="15">
      <c r="A30" s="5" t="s">
        <v>14</v>
      </c>
    </row>
    <row r="31" spans="1:1" ht="15">
      <c r="A31" s="4"/>
    </row>
    <row r="32" spans="1:1" ht="15">
      <c r="A32" s="4" t="s">
        <v>15</v>
      </c>
    </row>
    <row r="33" spans="1:1" ht="15">
      <c r="A33" s="4"/>
    </row>
    <row r="34" spans="1:1" ht="15">
      <c r="A34" s="5" t="s">
        <v>16</v>
      </c>
    </row>
    <row r="35" spans="1:1" ht="15">
      <c r="A35" s="4"/>
    </row>
    <row r="36" spans="1:1" ht="15">
      <c r="A36" s="4"/>
    </row>
    <row r="37" spans="1:1" ht="15">
      <c r="A37" s="4" t="s">
        <v>17</v>
      </c>
    </row>
    <row r="38" spans="1:1" ht="15">
      <c r="A38" s="4"/>
    </row>
    <row r="39" spans="1:1" ht="15">
      <c r="A39" s="5" t="s">
        <v>51</v>
      </c>
    </row>
    <row r="40" spans="1:1" ht="15">
      <c r="A40" s="4"/>
    </row>
    <row r="41" spans="1:1" ht="15">
      <c r="A41" s="4" t="s">
        <v>18</v>
      </c>
    </row>
    <row r="42" spans="1:1" ht="15">
      <c r="A42" s="4"/>
    </row>
    <row r="43" spans="1:1" ht="15">
      <c r="A43" s="5" t="s">
        <v>19</v>
      </c>
    </row>
    <row r="44" spans="1:1" ht="15">
      <c r="A44" s="4"/>
    </row>
    <row r="45" spans="1:1" ht="15">
      <c r="A45" s="4"/>
    </row>
    <row r="46" spans="1:1" ht="15">
      <c r="A46" s="4" t="s">
        <v>20</v>
      </c>
    </row>
    <row r="47" spans="1:1" ht="15">
      <c r="A47" s="5" t="s">
        <v>21</v>
      </c>
    </row>
    <row r="48" spans="1:1" ht="15">
      <c r="A48" s="4"/>
    </row>
    <row r="49" spans="1:1" ht="15">
      <c r="A49" s="4"/>
    </row>
    <row r="50" spans="1:1" ht="15">
      <c r="A50" s="5"/>
    </row>
    <row r="51" spans="1:1" ht="15">
      <c r="A51" s="4" t="s">
        <v>22</v>
      </c>
    </row>
    <row r="52" spans="1:1" ht="15">
      <c r="A52" s="4"/>
    </row>
    <row r="53" spans="1:1" ht="15">
      <c r="A53" s="5" t="s">
        <v>23</v>
      </c>
    </row>
    <row r="54" spans="1:1" ht="15">
      <c r="A54" s="4"/>
    </row>
    <row r="55" spans="1:1" ht="15">
      <c r="A55" s="4"/>
    </row>
    <row r="56" spans="1:1" ht="15">
      <c r="A56" s="4" t="s">
        <v>24</v>
      </c>
    </row>
    <row r="57" spans="1:1" ht="15">
      <c r="A57" s="4"/>
    </row>
    <row r="58" spans="1:1" ht="15">
      <c r="A58" s="5" t="s">
        <v>25</v>
      </c>
    </row>
    <row r="59" spans="1:1" ht="15">
      <c r="A59" s="4"/>
    </row>
    <row r="60" spans="1:1" ht="15">
      <c r="A60" s="4"/>
    </row>
    <row r="61" spans="1:1" ht="15">
      <c r="A61" s="4" t="s">
        <v>26</v>
      </c>
    </row>
    <row r="62" spans="1:1" ht="15">
      <c r="A62" s="5" t="s">
        <v>27</v>
      </c>
    </row>
    <row r="63" spans="1:1" ht="15">
      <c r="A63" s="4"/>
    </row>
    <row r="64" spans="1:1" ht="15">
      <c r="A64" s="4"/>
    </row>
    <row r="65" spans="1:1" ht="15">
      <c r="A65" s="4"/>
    </row>
    <row r="66" spans="1:1" ht="15">
      <c r="A66" s="4" t="s">
        <v>28</v>
      </c>
    </row>
    <row r="67" spans="1:1" ht="15">
      <c r="A67" s="4"/>
    </row>
    <row r="68" spans="1:1" ht="15">
      <c r="A68" s="5" t="s">
        <v>29</v>
      </c>
    </row>
    <row r="69" spans="1:1" ht="15">
      <c r="A69" s="4"/>
    </row>
    <row r="70" spans="1:1" ht="15">
      <c r="A70" s="4"/>
    </row>
    <row r="71" spans="1:1" ht="15">
      <c r="A71" s="4" t="s">
        <v>30</v>
      </c>
    </row>
    <row r="72" spans="1:1" ht="15">
      <c r="A72" s="5" t="s">
        <v>31</v>
      </c>
    </row>
    <row r="73" spans="1:1" ht="15">
      <c r="A73" s="4"/>
    </row>
    <row r="74" spans="1:1" ht="15">
      <c r="A74" s="4"/>
    </row>
    <row r="75" spans="1:1" ht="15">
      <c r="A75" s="4" t="s">
        <v>52</v>
      </c>
    </row>
    <row r="76" spans="1:1" ht="15">
      <c r="A76" s="5" t="s">
        <v>32</v>
      </c>
    </row>
    <row r="77" spans="1:1" ht="15">
      <c r="A77" s="4"/>
    </row>
    <row r="78" spans="1:1" ht="15">
      <c r="A78" s="4"/>
    </row>
    <row r="79" spans="1:1" ht="15">
      <c r="A79" s="5"/>
    </row>
    <row r="80" spans="1:1" ht="15">
      <c r="A80" s="4" t="s">
        <v>33</v>
      </c>
    </row>
    <row r="81" spans="1:1" ht="15">
      <c r="A81" s="5" t="s">
        <v>34</v>
      </c>
    </row>
    <row r="82" spans="1:1" ht="15">
      <c r="A82" s="4"/>
    </row>
    <row r="83" spans="1:1" ht="15">
      <c r="A83" s="4"/>
    </row>
    <row r="84" spans="1:1" ht="15">
      <c r="A84" s="5"/>
    </row>
    <row r="85" spans="1:1" ht="15">
      <c r="A85" s="4" t="s">
        <v>35</v>
      </c>
    </row>
    <row r="86" spans="1:1" ht="15">
      <c r="A86" s="5" t="s">
        <v>36</v>
      </c>
    </row>
    <row r="87" spans="1:1" ht="15">
      <c r="A87" s="4"/>
    </row>
    <row r="88" spans="1:1" ht="15">
      <c r="A88" s="5"/>
    </row>
    <row r="89" spans="1:1" ht="15">
      <c r="A89" s="4"/>
    </row>
    <row r="90" spans="1:1" ht="15">
      <c r="A90" s="4" t="s">
        <v>37</v>
      </c>
    </row>
    <row r="91" spans="1:1" ht="15">
      <c r="A91" s="4"/>
    </row>
    <row r="92" spans="1:1" ht="15">
      <c r="A92" s="4"/>
    </row>
    <row r="93" spans="1:1" ht="15">
      <c r="A93" s="5" t="s">
        <v>38</v>
      </c>
    </row>
    <row r="94" spans="1:1" ht="15">
      <c r="A94" s="4"/>
    </row>
    <row r="95" spans="1:1" ht="15">
      <c r="A95" s="4" t="s">
        <v>39</v>
      </c>
    </row>
    <row r="96" spans="1:1" ht="15">
      <c r="A96" s="5" t="s">
        <v>40</v>
      </c>
    </row>
    <row r="97" spans="1:1" ht="15">
      <c r="A97" s="4"/>
    </row>
    <row r="98" spans="1:1" ht="15">
      <c r="A98" s="5"/>
    </row>
    <row r="99" spans="1:1" ht="15">
      <c r="A99" s="4"/>
    </row>
    <row r="100" spans="1:1" ht="15">
      <c r="A100" s="4" t="s">
        <v>41</v>
      </c>
    </row>
    <row r="101" spans="1:1" ht="15">
      <c r="A101" s="4"/>
    </row>
    <row r="102" spans="1:1" ht="15">
      <c r="A102" s="5" t="s">
        <v>42</v>
      </c>
    </row>
    <row r="103" spans="1:1" ht="15">
      <c r="A103" s="4"/>
    </row>
    <row r="104" spans="1:1" ht="15">
      <c r="A104" s="4"/>
    </row>
    <row r="105" spans="1:1" ht="15">
      <c r="A105" s="4" t="s">
        <v>43</v>
      </c>
    </row>
    <row r="106" spans="1:1" ht="15">
      <c r="A106" s="4"/>
    </row>
    <row r="107" spans="1:1" ht="15">
      <c r="A107" s="5" t="s">
        <v>44</v>
      </c>
    </row>
    <row r="108" spans="1:1" ht="15">
      <c r="A108" s="4"/>
    </row>
    <row r="109" spans="1:1" ht="15">
      <c r="A109" s="4"/>
    </row>
    <row r="110" spans="1:1" ht="15">
      <c r="A110" s="4" t="s">
        <v>45</v>
      </c>
    </row>
    <row r="111" spans="1:1" ht="15">
      <c r="A111" s="4"/>
    </row>
    <row r="112" spans="1:1" ht="15">
      <c r="A112" s="5" t="s">
        <v>46</v>
      </c>
    </row>
    <row r="113" spans="1:1" ht="15">
      <c r="A113" s="4"/>
    </row>
    <row r="114" spans="1:1" ht="15">
      <c r="A114" s="4"/>
    </row>
    <row r="115" spans="1:1" ht="15">
      <c r="A115" s="4" t="s">
        <v>47</v>
      </c>
    </row>
    <row r="116" spans="1:1" ht="15">
      <c r="A116" s="4"/>
    </row>
    <row r="117" spans="1:1" ht="15">
      <c r="A117" s="4"/>
    </row>
    <row r="118" spans="1:1" ht="15">
      <c r="A118" s="5" t="s">
        <v>48</v>
      </c>
    </row>
    <row r="119" spans="1:1" ht="15">
      <c r="A119" s="4"/>
    </row>
    <row r="120" spans="1:1" ht="15">
      <c r="A120" s="4" t="s">
        <v>49</v>
      </c>
    </row>
    <row r="121" spans="1:1" ht="15">
      <c r="A121" s="4"/>
    </row>
    <row r="122" spans="1:1" ht="15">
      <c r="A122" s="5" t="s">
        <v>50</v>
      </c>
    </row>
    <row r="123" spans="1:1" ht="15">
      <c r="A123" s="4"/>
    </row>
    <row r="124" spans="1:1" ht="15">
      <c r="A124" s="4" t="s">
        <v>53</v>
      </c>
    </row>
    <row r="125" spans="1:1" ht="15">
      <c r="A125" s="4"/>
    </row>
    <row r="126" spans="1:1" ht="15">
      <c r="A126" s="4"/>
    </row>
    <row r="127" spans="1:1" ht="15">
      <c r="A127" s="5" t="s">
        <v>54</v>
      </c>
    </row>
    <row r="128" spans="1:1" ht="15">
      <c r="A128" s="4"/>
    </row>
    <row r="129" spans="1:1" ht="15">
      <c r="A129" s="4" t="s">
        <v>55</v>
      </c>
    </row>
    <row r="130" spans="1:1" ht="15">
      <c r="A130" s="5" t="s">
        <v>56</v>
      </c>
    </row>
    <row r="131" spans="1:1" ht="15">
      <c r="A131" s="4"/>
    </row>
    <row r="132" spans="1:1" ht="15">
      <c r="A132" s="4"/>
    </row>
    <row r="133" spans="1:1" ht="15">
      <c r="A133" s="4"/>
    </row>
    <row r="134" spans="1:1" ht="15">
      <c r="A134" s="4" t="s">
        <v>57</v>
      </c>
    </row>
    <row r="135" spans="1:1" ht="15">
      <c r="A135" s="5" t="s">
        <v>58</v>
      </c>
    </row>
    <row r="136" spans="1:1" ht="15">
      <c r="A136" s="4"/>
    </row>
    <row r="137" spans="1:1" ht="15">
      <c r="A137" s="4"/>
    </row>
    <row r="138" spans="1:1" ht="15">
      <c r="A138" s="5"/>
    </row>
    <row r="139" spans="1:1" ht="15">
      <c r="A139" s="4" t="s">
        <v>59</v>
      </c>
    </row>
    <row r="140" spans="1:1" ht="15">
      <c r="A140" s="5" t="s">
        <v>60</v>
      </c>
    </row>
    <row r="141" spans="1:1" ht="15">
      <c r="A141" s="4"/>
    </row>
    <row r="142" spans="1:1" ht="15">
      <c r="A142" s="4"/>
    </row>
    <row r="143" spans="1:1" ht="15">
      <c r="A143" s="4"/>
    </row>
    <row r="144" spans="1:1" ht="15">
      <c r="A144" s="4" t="s">
        <v>61</v>
      </c>
    </row>
    <row r="145" spans="1:1" ht="15">
      <c r="A145" s="4"/>
    </row>
    <row r="146" spans="1:1" ht="15">
      <c r="A146" s="5" t="s">
        <v>62</v>
      </c>
    </row>
    <row r="147" spans="1:1" ht="15">
      <c r="A147" s="4"/>
    </row>
    <row r="148" spans="1:1" ht="15">
      <c r="A148" s="4"/>
    </row>
    <row r="149" spans="1:1" ht="15">
      <c r="A149" s="4" t="s">
        <v>63</v>
      </c>
    </row>
    <row r="150" spans="1:1" ht="15">
      <c r="A150" s="5" t="s">
        <v>64</v>
      </c>
    </row>
    <row r="151" spans="1:1" ht="15">
      <c r="A151" s="4"/>
    </row>
    <row r="152" spans="1:1" ht="15">
      <c r="A152" s="4"/>
    </row>
    <row r="153" spans="1:1" ht="15">
      <c r="A15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57891-BB9E-4D62-9C69-07C9D3B9CC00}">
  <dimension ref="A1:J40"/>
  <sheetViews>
    <sheetView topLeftCell="A23" workbookViewId="0">
      <selection activeCell="G40" sqref="G40"/>
    </sheetView>
  </sheetViews>
  <sheetFormatPr defaultRowHeight="14.4"/>
  <cols>
    <col min="1" max="1" width="14.5546875" customWidth="1"/>
    <col min="2" max="2" width="14" customWidth="1"/>
    <col min="3" max="3" width="0.21875" customWidth="1"/>
    <col min="4" max="4" width="17.33203125" customWidth="1"/>
    <col min="6" max="6" width="13.88671875" customWidth="1"/>
    <col min="7" max="7" width="15.77734375" customWidth="1"/>
  </cols>
  <sheetData>
    <row r="1" spans="1:10" ht="15">
      <c r="A1" s="4" t="s">
        <v>65</v>
      </c>
    </row>
    <row r="2" spans="1:10">
      <c r="A2" s="8" t="s">
        <v>66</v>
      </c>
      <c r="B2" s="9"/>
      <c r="C2" s="9"/>
      <c r="D2" s="9"/>
      <c r="E2" s="9"/>
      <c r="F2" s="9"/>
      <c r="G2" s="9"/>
      <c r="H2" s="9"/>
      <c r="I2" s="9"/>
      <c r="J2" s="9"/>
    </row>
    <row r="3" spans="1:10">
      <c r="A3" s="8" t="s">
        <v>67</v>
      </c>
      <c r="B3" s="9"/>
      <c r="C3" s="9"/>
      <c r="D3" s="9"/>
      <c r="E3" s="9"/>
      <c r="F3" s="9"/>
      <c r="G3" s="9"/>
      <c r="H3" s="9"/>
      <c r="I3" s="9"/>
      <c r="J3" s="9"/>
    </row>
    <row r="4" spans="1:10" ht="15">
      <c r="A4" s="5"/>
      <c r="B4" s="5"/>
      <c r="C4" s="5"/>
      <c r="D4" s="5"/>
      <c r="E4" s="5"/>
    </row>
    <row r="5" spans="1:10" ht="15">
      <c r="A5" s="17" t="s">
        <v>228</v>
      </c>
      <c r="B5" s="17" t="s">
        <v>229</v>
      </c>
      <c r="C5" s="17"/>
      <c r="D5" s="17" t="s">
        <v>230</v>
      </c>
      <c r="E5" s="5"/>
    </row>
    <row r="6" spans="1:10" ht="15">
      <c r="A6" s="10">
        <v>101</v>
      </c>
      <c r="B6" s="10" t="s">
        <v>234</v>
      </c>
      <c r="C6" s="10"/>
      <c r="D6" s="10" t="s">
        <v>237</v>
      </c>
      <c r="E6" s="4"/>
      <c r="F6">
        <f>VLOOKUP(A10,A5:D11,3,FALSE)</f>
        <v>0</v>
      </c>
      <c r="G6" s="16" t="s">
        <v>228</v>
      </c>
      <c r="H6" s="15">
        <v>105</v>
      </c>
      <c r="I6" s="15"/>
    </row>
    <row r="7" spans="1:10" ht="15">
      <c r="A7" s="10">
        <v>102</v>
      </c>
      <c r="B7" s="10" t="s">
        <v>235</v>
      </c>
      <c r="C7" s="10"/>
      <c r="D7" s="10" t="s">
        <v>238</v>
      </c>
      <c r="E7" s="4"/>
      <c r="F7">
        <f>VLOOKUP(A5,A5:D11,3,FALSE)</f>
        <v>0</v>
      </c>
      <c r="G7" s="16" t="s">
        <v>230</v>
      </c>
      <c r="H7" s="15" t="e">
        <f>VLOOKUP(H6,A5:D10,D5,FALSE)</f>
        <v>#REF!</v>
      </c>
      <c r="I7" s="15"/>
    </row>
    <row r="8" spans="1:10" ht="15">
      <c r="A8" s="10">
        <v>103</v>
      </c>
      <c r="B8" s="10" t="s">
        <v>231</v>
      </c>
      <c r="C8" s="10"/>
      <c r="D8" s="10" t="s">
        <v>239</v>
      </c>
      <c r="E8" s="4"/>
      <c r="F8" t="e" cm="1">
        <f t="array" ref="F8">vlookup</f>
        <v>#NAME?</v>
      </c>
    </row>
    <row r="9" spans="1:10" ht="15">
      <c r="A9" s="10">
        <v>104</v>
      </c>
      <c r="B9" s="10" t="s">
        <v>232</v>
      </c>
      <c r="C9" s="10"/>
      <c r="D9" s="10" t="s">
        <v>240</v>
      </c>
      <c r="E9" s="4"/>
    </row>
    <row r="10" spans="1:10" ht="15">
      <c r="A10" s="10">
        <v>105</v>
      </c>
      <c r="B10" s="10" t="s">
        <v>233</v>
      </c>
      <c r="C10" s="10"/>
      <c r="D10" s="10" t="s">
        <v>241</v>
      </c>
      <c r="E10" s="4"/>
    </row>
    <row r="11" spans="1:10" ht="15">
      <c r="A11" s="10">
        <v>106</v>
      </c>
      <c r="B11" s="10" t="s">
        <v>236</v>
      </c>
      <c r="C11" s="10"/>
      <c r="D11" s="10" t="s">
        <v>227</v>
      </c>
      <c r="E11" s="4"/>
    </row>
    <row r="12" spans="1:10" ht="15">
      <c r="A12" s="4"/>
      <c r="B12" s="4"/>
      <c r="C12" s="4"/>
      <c r="D12" s="4"/>
      <c r="E12" s="4"/>
    </row>
    <row r="13" spans="1:10" ht="15">
      <c r="A13" s="4" t="s">
        <v>242</v>
      </c>
    </row>
    <row r="14" spans="1:10" ht="15">
      <c r="A14" s="4" t="s">
        <v>226</v>
      </c>
      <c r="B14" s="4"/>
      <c r="C14" s="4"/>
      <c r="D14" s="4"/>
      <c r="E14" s="4"/>
    </row>
    <row r="15" spans="1:10">
      <c r="A15" t="s">
        <v>254</v>
      </c>
    </row>
    <row r="16" spans="1:10" ht="15">
      <c r="A16" s="6" t="s">
        <v>243</v>
      </c>
      <c r="B16" s="4"/>
      <c r="C16" s="4"/>
      <c r="D16" s="4"/>
      <c r="E16" s="4"/>
    </row>
    <row r="17" spans="1:7" ht="15">
      <c r="A17" s="18" t="s">
        <v>244</v>
      </c>
      <c r="B17" s="19" t="s">
        <v>245</v>
      </c>
      <c r="C17" s="19" t="s">
        <v>246</v>
      </c>
      <c r="D17" s="19"/>
      <c r="E17" s="4"/>
    </row>
    <row r="18" spans="1:7" ht="15">
      <c r="A18" s="11">
        <v>1001</v>
      </c>
      <c r="B18" s="10" t="s">
        <v>250</v>
      </c>
      <c r="C18" s="10"/>
      <c r="D18" s="10">
        <v>45000</v>
      </c>
      <c r="E18" s="4"/>
      <c r="F18" s="12" t="s">
        <v>251</v>
      </c>
      <c r="G18" t="s">
        <v>252</v>
      </c>
    </row>
    <row r="19" spans="1:7" ht="15">
      <c r="A19" s="11">
        <v>1002</v>
      </c>
      <c r="B19" s="10" t="s">
        <v>247</v>
      </c>
      <c r="C19" s="10"/>
      <c r="D19" s="10">
        <v>52000</v>
      </c>
      <c r="E19" s="4"/>
      <c r="F19" s="13" t="s">
        <v>248</v>
      </c>
      <c r="G19" s="14">
        <v>1003</v>
      </c>
    </row>
    <row r="20" spans="1:7" ht="15">
      <c r="A20" s="11">
        <v>1003</v>
      </c>
      <c r="B20" s="10" t="s">
        <v>248</v>
      </c>
      <c r="C20" s="10"/>
      <c r="D20" s="10">
        <v>67000</v>
      </c>
      <c r="E20" s="4"/>
      <c r="F20" s="13" t="s">
        <v>250</v>
      </c>
      <c r="G20" s="14">
        <v>2006</v>
      </c>
    </row>
    <row r="21" spans="1:7" ht="15">
      <c r="A21" s="11">
        <v>1004</v>
      </c>
      <c r="B21" s="10" t="s">
        <v>249</v>
      </c>
      <c r="C21" s="10"/>
      <c r="D21" s="10">
        <v>48000</v>
      </c>
      <c r="E21" s="4"/>
      <c r="F21" s="13" t="s">
        <v>247</v>
      </c>
      <c r="G21" s="14">
        <v>1002</v>
      </c>
    </row>
    <row r="22" spans="1:7" ht="15">
      <c r="A22" s="10">
        <v>1005</v>
      </c>
      <c r="B22" s="10" t="s">
        <v>250</v>
      </c>
      <c r="C22" s="10"/>
      <c r="D22" s="10">
        <v>72000</v>
      </c>
      <c r="E22" s="4"/>
      <c r="F22" s="13" t="s">
        <v>249</v>
      </c>
      <c r="G22" s="14">
        <v>1004</v>
      </c>
    </row>
    <row r="23" spans="1:7" ht="15">
      <c r="A23" s="10"/>
      <c r="B23" s="10"/>
      <c r="C23" s="10"/>
      <c r="D23" s="10"/>
      <c r="E23" s="4"/>
      <c r="F23" s="13" t="s">
        <v>253</v>
      </c>
      <c r="G23" s="14">
        <v>5015</v>
      </c>
    </row>
    <row r="26" spans="1:7">
      <c r="A26" t="s">
        <v>255</v>
      </c>
    </row>
    <row r="28" spans="1:7">
      <c r="A28" s="1" t="s">
        <v>256</v>
      </c>
      <c r="B28" s="1"/>
      <c r="D28" s="1" t="str">
        <f ca="1">TEXT(TODAY(), "dd-mmm-yyyy")</f>
        <v>19-Sep-2025</v>
      </c>
    </row>
    <row r="30" spans="1:7" ht="15">
      <c r="A30" s="4" t="s">
        <v>68</v>
      </c>
    </row>
    <row r="31" spans="1:7" ht="15">
      <c r="A31" s="4" t="s">
        <v>69</v>
      </c>
    </row>
    <row r="32" spans="1:7">
      <c r="A32" s="20" t="s">
        <v>241</v>
      </c>
      <c r="B32" s="20" t="s">
        <v>257</v>
      </c>
      <c r="C32" s="22"/>
      <c r="D32" s="25"/>
      <c r="E32" s="24"/>
      <c r="F32" s="23"/>
    </row>
    <row r="33" spans="1:8">
      <c r="A33" s="21">
        <v>20000</v>
      </c>
      <c r="B33" s="21">
        <v>4000</v>
      </c>
      <c r="C33" s="22"/>
      <c r="D33" s="23"/>
      <c r="E33" s="24"/>
      <c r="F33" s="23"/>
    </row>
    <row r="34" spans="1:8">
      <c r="A34" s="21">
        <v>30000</v>
      </c>
      <c r="B34" s="21">
        <v>6000</v>
      </c>
      <c r="C34" s="22"/>
      <c r="D34" s="23"/>
      <c r="E34" s="23"/>
      <c r="F34" s="23"/>
    </row>
    <row r="35" spans="1:8">
      <c r="A35" s="21">
        <v>40000</v>
      </c>
      <c r="B35" s="21">
        <v>8000</v>
      </c>
      <c r="C35" s="22"/>
      <c r="D35" s="23"/>
      <c r="E35" s="23"/>
      <c r="F35" s="23"/>
    </row>
    <row r="36" spans="1:8">
      <c r="A36" s="21">
        <v>50000</v>
      </c>
      <c r="B36" s="21">
        <v>10000</v>
      </c>
      <c r="C36" s="22"/>
      <c r="D36" s="23"/>
      <c r="E36" s="23"/>
      <c r="F36" s="23"/>
    </row>
    <row r="37" spans="1:8">
      <c r="A37" s="21">
        <v>60000</v>
      </c>
      <c r="B37" s="21">
        <v>12000</v>
      </c>
      <c r="C37" s="22"/>
      <c r="D37" s="23"/>
      <c r="E37" s="23"/>
      <c r="F37" s="23"/>
    </row>
    <row r="39" spans="1:8" ht="15">
      <c r="A39" s="1"/>
      <c r="B39" s="1" t="s">
        <v>246</v>
      </c>
      <c r="D39">
        <v>1000</v>
      </c>
      <c r="F39" s="1" t="s">
        <v>278</v>
      </c>
      <c r="G39" s="4" t="s">
        <v>241</v>
      </c>
      <c r="H39">
        <v>50000</v>
      </c>
    </row>
    <row r="40" spans="1:8" ht="15">
      <c r="B40" s="1" t="s">
        <v>258</v>
      </c>
      <c r="D40">
        <f>D39*2</f>
        <v>2000</v>
      </c>
      <c r="G40" s="4" t="s">
        <v>258</v>
      </c>
      <c r="H40">
        <f>H39*0.2</f>
        <v>10000</v>
      </c>
    </row>
  </sheetData>
  <conditionalFormatting sqref="A17:D23">
    <cfRule type="cellIs" dxfId="7" priority="1" operator="greaterThan">
      <formula>50000</formula>
    </cfRule>
    <cfRule type="cellIs" priority="2" operator="greaterThan">
      <formula>50000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1B7F-B0D5-4017-B27B-EE7930045C92}">
  <dimension ref="A1:I44"/>
  <sheetViews>
    <sheetView zoomScale="47" workbookViewId="0">
      <selection activeCell="A3" sqref="A3:B45"/>
    </sheetView>
  </sheetViews>
  <sheetFormatPr defaultRowHeight="14.4"/>
  <cols>
    <col min="1" max="1" width="18.21875" bestFit="1" customWidth="1"/>
    <col min="2" max="2" width="26.77734375" bestFit="1" customWidth="1"/>
    <col min="5" max="5" width="14" bestFit="1" customWidth="1"/>
    <col min="6" max="6" width="29.5546875" bestFit="1" customWidth="1"/>
  </cols>
  <sheetData>
    <row r="1" spans="1:9">
      <c r="E1" t="s">
        <v>267</v>
      </c>
    </row>
    <row r="3" spans="1:9">
      <c r="A3" s="12" t="s">
        <v>251</v>
      </c>
      <c r="B3" t="s">
        <v>260</v>
      </c>
      <c r="E3" s="12" t="s">
        <v>251</v>
      </c>
      <c r="F3" t="s">
        <v>261</v>
      </c>
      <c r="H3" s="12" t="s">
        <v>251</v>
      </c>
      <c r="I3" t="s">
        <v>261</v>
      </c>
    </row>
    <row r="4" spans="1:9">
      <c r="A4" s="13" t="s">
        <v>208</v>
      </c>
      <c r="B4" s="14">
        <v>3.45</v>
      </c>
      <c r="E4" s="13" t="s">
        <v>207</v>
      </c>
      <c r="F4" s="14">
        <v>0.05</v>
      </c>
      <c r="H4" s="13" t="s">
        <v>207</v>
      </c>
      <c r="I4" s="14">
        <v>0.05</v>
      </c>
    </row>
    <row r="5" spans="1:9">
      <c r="A5" s="13" t="s">
        <v>191</v>
      </c>
      <c r="B5" s="14">
        <v>2.34</v>
      </c>
      <c r="E5" s="13" t="s">
        <v>130</v>
      </c>
      <c r="F5" s="14">
        <v>1.8</v>
      </c>
      <c r="H5" s="13" t="s">
        <v>130</v>
      </c>
      <c r="I5" s="14">
        <v>1.8</v>
      </c>
    </row>
    <row r="6" spans="1:9">
      <c r="A6" s="13" t="s">
        <v>201</v>
      </c>
      <c r="B6" s="14">
        <v>2.1</v>
      </c>
      <c r="E6" s="13" t="s">
        <v>125</v>
      </c>
      <c r="F6" s="14">
        <v>1.4</v>
      </c>
      <c r="H6" s="13" t="s">
        <v>125</v>
      </c>
      <c r="I6" s="14">
        <v>1.4</v>
      </c>
    </row>
    <row r="7" spans="1:9">
      <c r="A7" s="13" t="s">
        <v>126</v>
      </c>
      <c r="B7" s="14">
        <v>1.67</v>
      </c>
      <c r="E7" s="13" t="s">
        <v>122</v>
      </c>
      <c r="F7" s="14">
        <v>2.8</v>
      </c>
      <c r="H7" s="13" t="s">
        <v>122</v>
      </c>
      <c r="I7" s="14">
        <v>2.8</v>
      </c>
    </row>
    <row r="8" spans="1:9">
      <c r="A8" s="13" t="s">
        <v>198</v>
      </c>
      <c r="B8" s="14">
        <v>1.45</v>
      </c>
      <c r="E8" s="13" t="s">
        <v>204</v>
      </c>
      <c r="F8" s="14">
        <v>0.2</v>
      </c>
      <c r="H8" s="13" t="s">
        <v>204</v>
      </c>
      <c r="I8" s="14">
        <v>0.2</v>
      </c>
    </row>
    <row r="9" spans="1:9">
      <c r="A9" s="13" t="s">
        <v>107</v>
      </c>
      <c r="B9" s="14">
        <v>1.24</v>
      </c>
      <c r="E9" s="13" t="s">
        <v>101</v>
      </c>
      <c r="F9" s="14">
        <v>12.4</v>
      </c>
      <c r="H9" s="13" t="s">
        <v>101</v>
      </c>
      <c r="I9" s="14">
        <v>12.4</v>
      </c>
    </row>
    <row r="10" spans="1:9">
      <c r="A10" s="13" t="s">
        <v>188</v>
      </c>
      <c r="B10" s="14">
        <v>1.23</v>
      </c>
      <c r="E10" s="13" t="s">
        <v>211</v>
      </c>
      <c r="F10" s="14">
        <v>0.1</v>
      </c>
      <c r="H10" s="13" t="s">
        <v>211</v>
      </c>
      <c r="I10" s="14">
        <v>0.1</v>
      </c>
    </row>
    <row r="11" spans="1:9">
      <c r="A11" s="13" t="s">
        <v>215</v>
      </c>
      <c r="B11" s="14">
        <v>1.1200000000000001</v>
      </c>
      <c r="E11" s="13" t="s">
        <v>160</v>
      </c>
      <c r="F11" s="14">
        <v>0.4</v>
      </c>
      <c r="H11" s="13" t="s">
        <v>160</v>
      </c>
      <c r="I11" s="14">
        <v>0.4</v>
      </c>
    </row>
    <row r="12" spans="1:9">
      <c r="A12" s="13" t="s">
        <v>141</v>
      </c>
      <c r="B12" s="14">
        <v>0.91</v>
      </c>
      <c r="E12" s="13" t="s">
        <v>197</v>
      </c>
      <c r="F12" s="14">
        <v>0.03</v>
      </c>
      <c r="H12" s="13" t="s">
        <v>197</v>
      </c>
      <c r="I12" s="14">
        <v>0.03</v>
      </c>
    </row>
    <row r="13" spans="1:9">
      <c r="A13" s="13" t="s">
        <v>185</v>
      </c>
      <c r="B13" s="14">
        <v>0.89</v>
      </c>
      <c r="E13" s="13" t="s">
        <v>116</v>
      </c>
      <c r="F13" s="14">
        <v>3</v>
      </c>
      <c r="H13" s="13" t="s">
        <v>116</v>
      </c>
      <c r="I13" s="14">
        <v>3</v>
      </c>
    </row>
    <row r="14" spans="1:9">
      <c r="A14" s="13" t="s">
        <v>119</v>
      </c>
      <c r="B14" s="14">
        <v>0.89</v>
      </c>
      <c r="E14" s="13" t="s">
        <v>109</v>
      </c>
      <c r="F14" s="14">
        <v>2.9</v>
      </c>
      <c r="H14" s="13" t="s">
        <v>109</v>
      </c>
      <c r="I14" s="14">
        <v>2.9</v>
      </c>
    </row>
    <row r="15" spans="1:9">
      <c r="A15" s="13" t="s">
        <v>212</v>
      </c>
      <c r="B15" s="14">
        <v>0.89</v>
      </c>
      <c r="E15" s="13" t="s">
        <v>166</v>
      </c>
      <c r="F15" s="14">
        <v>4.2</v>
      </c>
      <c r="H15" s="13" t="s">
        <v>166</v>
      </c>
      <c r="I15" s="14">
        <v>4.2</v>
      </c>
    </row>
    <row r="16" spans="1:9">
      <c r="A16" s="13" t="s">
        <v>171</v>
      </c>
      <c r="B16" s="14">
        <v>0.78</v>
      </c>
      <c r="E16" s="13" t="s">
        <v>118</v>
      </c>
      <c r="F16" s="14">
        <v>4.3</v>
      </c>
      <c r="H16" s="13" t="s">
        <v>118</v>
      </c>
      <c r="I16" s="14">
        <v>4.3</v>
      </c>
    </row>
    <row r="17" spans="1:9">
      <c r="A17" s="13" t="s">
        <v>137</v>
      </c>
      <c r="B17" s="14">
        <v>0.78</v>
      </c>
      <c r="E17" s="13" t="s">
        <v>173</v>
      </c>
      <c r="F17" s="14">
        <v>0.7</v>
      </c>
      <c r="H17" s="13" t="s">
        <v>173</v>
      </c>
      <c r="I17" s="14">
        <v>0.7</v>
      </c>
    </row>
    <row r="18" spans="1:9">
      <c r="A18" s="13" t="s">
        <v>195</v>
      </c>
      <c r="B18" s="14">
        <v>0.78</v>
      </c>
      <c r="E18" s="13" t="s">
        <v>223</v>
      </c>
      <c r="F18" s="14">
        <v>0.4</v>
      </c>
      <c r="H18" s="13" t="s">
        <v>223</v>
      </c>
      <c r="I18" s="14">
        <v>0.4</v>
      </c>
    </row>
    <row r="19" spans="1:9">
      <c r="A19" s="13" t="s">
        <v>205</v>
      </c>
      <c r="B19" s="14">
        <v>0.67</v>
      </c>
      <c r="E19" s="13" t="s">
        <v>144</v>
      </c>
      <c r="F19" s="14">
        <v>0.9</v>
      </c>
      <c r="H19" s="13" t="s">
        <v>144</v>
      </c>
      <c r="I19" s="14">
        <v>0.9</v>
      </c>
    </row>
    <row r="20" spans="1:9">
      <c r="A20" s="13" t="s">
        <v>110</v>
      </c>
      <c r="B20" s="14">
        <v>0.67</v>
      </c>
      <c r="E20" s="13" t="s">
        <v>106</v>
      </c>
      <c r="F20" s="14">
        <v>6.8</v>
      </c>
      <c r="H20" s="13" t="s">
        <v>106</v>
      </c>
      <c r="I20" s="14">
        <v>6.8</v>
      </c>
    </row>
    <row r="21" spans="1:9">
      <c r="A21" s="13" t="s">
        <v>158</v>
      </c>
      <c r="B21" s="14">
        <v>0.67</v>
      </c>
      <c r="E21" s="13" t="s">
        <v>180</v>
      </c>
      <c r="F21" s="14">
        <v>0.5</v>
      </c>
      <c r="H21" s="13" t="s">
        <v>180</v>
      </c>
      <c r="I21" s="14">
        <v>0.5</v>
      </c>
    </row>
    <row r="22" spans="1:9">
      <c r="A22" s="13" t="s">
        <v>181</v>
      </c>
      <c r="B22" s="14">
        <v>0.67</v>
      </c>
      <c r="E22" s="13" t="s">
        <v>140</v>
      </c>
      <c r="F22" s="14">
        <v>0.7</v>
      </c>
      <c r="H22" s="13" t="s">
        <v>140</v>
      </c>
      <c r="I22" s="14">
        <v>0.7</v>
      </c>
    </row>
    <row r="23" spans="1:9">
      <c r="A23" s="13" t="s">
        <v>147</v>
      </c>
      <c r="B23" s="14">
        <v>0.67</v>
      </c>
      <c r="E23" s="13" t="s">
        <v>149</v>
      </c>
      <c r="F23" s="14">
        <v>1.1000000000000001</v>
      </c>
      <c r="H23" s="13" t="s">
        <v>149</v>
      </c>
      <c r="I23" s="14">
        <v>1.1000000000000001</v>
      </c>
    </row>
    <row r="24" spans="1:9">
      <c r="A24" s="13" t="s">
        <v>221</v>
      </c>
      <c r="B24" s="14">
        <v>0.56000000000000005</v>
      </c>
      <c r="E24" s="13" t="s">
        <v>200</v>
      </c>
      <c r="F24" s="14">
        <v>0.04</v>
      </c>
      <c r="H24" s="13" t="s">
        <v>200</v>
      </c>
      <c r="I24" s="14">
        <v>0.04</v>
      </c>
    </row>
    <row r="25" spans="1:9">
      <c r="A25" s="13" t="s">
        <v>164</v>
      </c>
      <c r="B25" s="14">
        <v>0.56000000000000005</v>
      </c>
      <c r="E25" s="13" t="s">
        <v>157</v>
      </c>
      <c r="F25" s="14">
        <v>0.4</v>
      </c>
      <c r="H25" s="13" t="s">
        <v>157</v>
      </c>
      <c r="I25" s="14">
        <v>0.4</v>
      </c>
    </row>
    <row r="26" spans="1:9">
      <c r="A26" s="13" t="s">
        <v>155</v>
      </c>
      <c r="B26" s="14">
        <v>0.45</v>
      </c>
      <c r="E26" s="13" t="s">
        <v>214</v>
      </c>
      <c r="F26" s="14">
        <v>0.08</v>
      </c>
      <c r="H26" s="13" t="s">
        <v>214</v>
      </c>
      <c r="I26" s="14">
        <v>0.08</v>
      </c>
    </row>
    <row r="27" spans="1:9">
      <c r="A27" s="13" t="s">
        <v>174</v>
      </c>
      <c r="B27" s="14">
        <v>0.45</v>
      </c>
      <c r="E27" s="13" t="s">
        <v>184</v>
      </c>
      <c r="F27" s="14">
        <v>0.3</v>
      </c>
      <c r="H27" s="13" t="s">
        <v>184</v>
      </c>
      <c r="I27" s="14">
        <v>0.3</v>
      </c>
    </row>
    <row r="28" spans="1:9">
      <c r="A28" s="13" t="s">
        <v>123</v>
      </c>
      <c r="B28" s="14">
        <v>0.45</v>
      </c>
      <c r="E28" s="13" t="s">
        <v>136</v>
      </c>
      <c r="F28" s="14">
        <v>0.6</v>
      </c>
      <c r="H28" s="13" t="s">
        <v>136</v>
      </c>
      <c r="I28" s="14">
        <v>0.6</v>
      </c>
    </row>
    <row r="29" spans="1:9">
      <c r="A29" s="13" t="s">
        <v>97</v>
      </c>
      <c r="B29" s="14">
        <v>0.34</v>
      </c>
      <c r="E29" s="13" t="s">
        <v>220</v>
      </c>
      <c r="F29" s="14">
        <v>2.8</v>
      </c>
      <c r="H29" s="13" t="s">
        <v>220</v>
      </c>
      <c r="I29" s="14">
        <v>2.8</v>
      </c>
    </row>
    <row r="30" spans="1:9">
      <c r="A30" s="13" t="s">
        <v>218</v>
      </c>
      <c r="B30" s="14">
        <v>0.34</v>
      </c>
      <c r="E30" s="13" t="s">
        <v>163</v>
      </c>
      <c r="F30" s="14">
        <v>0.8</v>
      </c>
      <c r="H30" s="13" t="s">
        <v>163</v>
      </c>
      <c r="I30" s="14">
        <v>0.8</v>
      </c>
    </row>
    <row r="31" spans="1:9">
      <c r="A31" s="13" t="s">
        <v>145</v>
      </c>
      <c r="B31" s="14">
        <v>0.34</v>
      </c>
      <c r="E31" s="13" t="s">
        <v>194</v>
      </c>
      <c r="F31" s="14">
        <v>0.4</v>
      </c>
      <c r="H31" s="13" t="s">
        <v>194</v>
      </c>
      <c r="I31" s="14">
        <v>0.4</v>
      </c>
    </row>
    <row r="32" spans="1:9">
      <c r="A32" s="13" t="s">
        <v>177</v>
      </c>
      <c r="B32" s="14">
        <v>0.34</v>
      </c>
      <c r="E32" s="13" t="s">
        <v>133</v>
      </c>
      <c r="F32" s="14">
        <v>1.9</v>
      </c>
      <c r="H32" s="13" t="s">
        <v>133</v>
      </c>
      <c r="I32" s="14">
        <v>1.9</v>
      </c>
    </row>
    <row r="33" spans="1:9">
      <c r="A33" s="13" t="s">
        <v>152</v>
      </c>
      <c r="B33" s="14">
        <v>0.28000000000000003</v>
      </c>
      <c r="E33" s="13" t="s">
        <v>146</v>
      </c>
      <c r="F33" s="14">
        <v>0.8</v>
      </c>
      <c r="H33" s="13" t="s">
        <v>146</v>
      </c>
      <c r="I33" s="14">
        <v>0.8</v>
      </c>
    </row>
    <row r="34" spans="1:9">
      <c r="A34" s="13" t="s">
        <v>117</v>
      </c>
      <c r="B34" s="14">
        <v>0.28000000000000003</v>
      </c>
      <c r="E34" s="13" t="s">
        <v>154</v>
      </c>
      <c r="F34" s="14">
        <v>0.7</v>
      </c>
      <c r="H34" s="13" t="s">
        <v>154</v>
      </c>
      <c r="I34" s="14">
        <v>0.7</v>
      </c>
    </row>
    <row r="35" spans="1:9">
      <c r="A35" s="13" t="s">
        <v>161</v>
      </c>
      <c r="B35" s="14">
        <v>0.23</v>
      </c>
      <c r="E35" s="13" t="s">
        <v>151</v>
      </c>
      <c r="F35" s="14">
        <v>1.8</v>
      </c>
      <c r="H35" s="13" t="s">
        <v>151</v>
      </c>
      <c r="I35" s="14">
        <v>1.8</v>
      </c>
    </row>
    <row r="36" spans="1:9">
      <c r="A36" s="13" t="s">
        <v>131</v>
      </c>
      <c r="B36" s="14">
        <v>0.22</v>
      </c>
      <c r="E36" s="13" t="s">
        <v>170</v>
      </c>
      <c r="F36" s="14">
        <v>2.1</v>
      </c>
      <c r="H36" s="13" t="s">
        <v>170</v>
      </c>
      <c r="I36" s="14">
        <v>2.1</v>
      </c>
    </row>
    <row r="37" spans="1:9">
      <c r="A37" s="13" t="s">
        <v>150</v>
      </c>
      <c r="B37" s="14">
        <v>0.12</v>
      </c>
      <c r="E37" s="13" t="s">
        <v>176</v>
      </c>
      <c r="F37" s="14">
        <v>0.6</v>
      </c>
      <c r="H37" s="13" t="s">
        <v>176</v>
      </c>
      <c r="I37" s="14">
        <v>0.6</v>
      </c>
    </row>
    <row r="38" spans="1:9">
      <c r="A38" s="13" t="s">
        <v>259</v>
      </c>
      <c r="B38" s="14"/>
      <c r="E38" s="13" t="s">
        <v>190</v>
      </c>
      <c r="F38" s="14">
        <v>0.3</v>
      </c>
      <c r="H38" s="13" t="s">
        <v>190</v>
      </c>
      <c r="I38" s="14">
        <v>0.3</v>
      </c>
    </row>
    <row r="39" spans="1:9">
      <c r="A39" s="13" t="s">
        <v>113</v>
      </c>
      <c r="B39" s="14">
        <v>-0.15</v>
      </c>
      <c r="E39" s="13" t="s">
        <v>217</v>
      </c>
      <c r="F39" s="14">
        <v>0.7</v>
      </c>
      <c r="H39" s="13" t="s">
        <v>217</v>
      </c>
      <c r="I39" s="14">
        <v>0.7</v>
      </c>
    </row>
    <row r="40" spans="1:9">
      <c r="A40" s="13" t="s">
        <v>134</v>
      </c>
      <c r="B40" s="14">
        <v>-0.34</v>
      </c>
      <c r="E40" s="13" t="s">
        <v>112</v>
      </c>
      <c r="F40" s="14">
        <v>3.1</v>
      </c>
      <c r="H40" s="13" t="s">
        <v>112</v>
      </c>
      <c r="I40" s="14">
        <v>3.1</v>
      </c>
    </row>
    <row r="41" spans="1:9">
      <c r="A41" s="13" t="s">
        <v>224</v>
      </c>
      <c r="B41" s="14">
        <v>-0.78</v>
      </c>
      <c r="E41" s="13" t="s">
        <v>96</v>
      </c>
      <c r="F41" s="14">
        <v>51.2</v>
      </c>
      <c r="H41" s="13" t="s">
        <v>96</v>
      </c>
      <c r="I41" s="14">
        <v>51.2</v>
      </c>
    </row>
    <row r="42" spans="1:9">
      <c r="A42" s="13" t="s">
        <v>102</v>
      </c>
      <c r="B42" s="14">
        <v>-0.82</v>
      </c>
      <c r="E42" s="13" t="s">
        <v>187</v>
      </c>
      <c r="F42" s="14">
        <v>0.3</v>
      </c>
      <c r="H42" s="13" t="s">
        <v>187</v>
      </c>
      <c r="I42" s="14">
        <v>0.3</v>
      </c>
    </row>
    <row r="43" spans="1:9">
      <c r="A43" s="13" t="s">
        <v>167</v>
      </c>
      <c r="B43" s="14">
        <v>-1.23</v>
      </c>
      <c r="E43" s="13" t="s">
        <v>259</v>
      </c>
      <c r="F43" s="14"/>
      <c r="H43" s="13" t="s">
        <v>259</v>
      </c>
      <c r="I43" s="14"/>
    </row>
    <row r="44" spans="1:9">
      <c r="A44" s="13" t="s">
        <v>253</v>
      </c>
      <c r="B44" s="14">
        <v>25.509999999999998</v>
      </c>
      <c r="E44" s="13" t="s">
        <v>253</v>
      </c>
      <c r="F44" s="14">
        <v>113.59999999999998</v>
      </c>
      <c r="H44" s="13" t="s">
        <v>253</v>
      </c>
      <c r="I44" s="14">
        <v>113.59999999999998</v>
      </c>
    </row>
  </sheetData>
  <conditionalFormatting sqref="H3:J44">
    <cfRule type="colorScale" priority="1">
      <colorScale>
        <cfvo type="min"/>
        <cfvo type="percentile" val="50"/>
        <cfvo type="max"/>
        <color rgb="FF63BE7B"/>
        <color rgb="FFFFEB84"/>
        <color rgb="FFF8696B"/>
      </colorScale>
    </cfRule>
  </conditionalFormatting>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1932-F478-4E4A-8E10-A2E6EF6B63C8}">
  <dimension ref="A1:J45"/>
  <sheetViews>
    <sheetView topLeftCell="C20" zoomScale="48" workbookViewId="0">
      <selection activeCell="K6" sqref="K6"/>
    </sheetView>
  </sheetViews>
  <sheetFormatPr defaultRowHeight="14.4"/>
  <cols>
    <col min="1" max="1" width="12.5546875" bestFit="1" customWidth="1"/>
    <col min="2" max="2" width="27.21875" bestFit="1" customWidth="1"/>
    <col min="5" max="5" width="14" bestFit="1" customWidth="1"/>
    <col min="6" max="6" width="33.44140625" bestFit="1" customWidth="1"/>
    <col min="7" max="7" width="26.5546875" bestFit="1" customWidth="1"/>
    <col min="9" max="9" width="14" bestFit="1" customWidth="1"/>
    <col min="10" max="10" width="35.6640625" bestFit="1" customWidth="1"/>
  </cols>
  <sheetData>
    <row r="1" spans="1:10">
      <c r="F1" t="s">
        <v>268</v>
      </c>
    </row>
    <row r="3" spans="1:10">
      <c r="A3" s="12" t="s">
        <v>251</v>
      </c>
      <c r="B3" t="s">
        <v>262</v>
      </c>
    </row>
    <row r="4" spans="1:10">
      <c r="A4" s="13">
        <v>-1.9</v>
      </c>
      <c r="B4" s="14">
        <v>7.4</v>
      </c>
      <c r="E4" s="12" t="s">
        <v>251</v>
      </c>
      <c r="F4" t="s">
        <v>263</v>
      </c>
      <c r="G4" t="s">
        <v>264</v>
      </c>
      <c r="I4" s="12" t="s">
        <v>251</v>
      </c>
      <c r="J4" t="s">
        <v>266</v>
      </c>
    </row>
    <row r="5" spans="1:10">
      <c r="A5" s="13">
        <v>0.7</v>
      </c>
      <c r="B5" s="14">
        <v>1</v>
      </c>
      <c r="E5" s="13" t="s">
        <v>207</v>
      </c>
      <c r="F5" s="14">
        <v>6.2</v>
      </c>
      <c r="G5" s="14">
        <v>133</v>
      </c>
      <c r="I5" s="13" t="s">
        <v>207</v>
      </c>
      <c r="J5" s="14">
        <v>78.900000000000006</v>
      </c>
    </row>
    <row r="6" spans="1:10">
      <c r="A6" s="13">
        <v>1.1000000000000001</v>
      </c>
      <c r="B6" s="14">
        <v>1.6</v>
      </c>
      <c r="E6" s="13" t="s">
        <v>130</v>
      </c>
      <c r="F6" s="14">
        <v>4.0999999999999996</v>
      </c>
      <c r="G6" s="14">
        <v>4.3499999999999996</v>
      </c>
      <c r="I6" s="13" t="s">
        <v>130</v>
      </c>
      <c r="J6" s="14">
        <v>45.1</v>
      </c>
    </row>
    <row r="7" spans="1:10">
      <c r="A7" s="13">
        <v>1.2</v>
      </c>
      <c r="B7" s="14">
        <v>8.6</v>
      </c>
      <c r="E7" s="13" t="s">
        <v>125</v>
      </c>
      <c r="F7" s="14">
        <v>7.8</v>
      </c>
      <c r="G7" s="14">
        <v>10.75</v>
      </c>
      <c r="I7" s="13" t="s">
        <v>125</v>
      </c>
      <c r="J7" s="14">
        <v>87.7</v>
      </c>
    </row>
    <row r="8" spans="1:10">
      <c r="A8" s="13">
        <v>1.3</v>
      </c>
      <c r="B8" s="14">
        <v>2.2999999999999998</v>
      </c>
      <c r="E8" s="13" t="s">
        <v>122</v>
      </c>
      <c r="F8" s="14">
        <v>6.1</v>
      </c>
      <c r="G8" s="14">
        <v>4.75</v>
      </c>
      <c r="I8" s="13" t="s">
        <v>122</v>
      </c>
      <c r="J8" s="14">
        <v>106.7</v>
      </c>
    </row>
    <row r="9" spans="1:10">
      <c r="A9" s="13">
        <v>1.7</v>
      </c>
      <c r="B9" s="14">
        <v>3.8</v>
      </c>
      <c r="E9" s="13" t="s">
        <v>204</v>
      </c>
      <c r="F9" s="14">
        <v>8.8000000000000007</v>
      </c>
      <c r="G9" s="14">
        <v>5.75</v>
      </c>
      <c r="I9" s="13" t="s">
        <v>204</v>
      </c>
      <c r="J9" s="14">
        <v>37.799999999999997</v>
      </c>
    </row>
    <row r="10" spans="1:10">
      <c r="A10" s="13">
        <v>1.8</v>
      </c>
      <c r="B10" s="14">
        <v>1.7</v>
      </c>
      <c r="E10" s="13" t="s">
        <v>101</v>
      </c>
      <c r="F10" s="14">
        <v>5.2</v>
      </c>
      <c r="G10" s="14">
        <v>3.1</v>
      </c>
      <c r="I10" s="13" t="s">
        <v>101</v>
      </c>
      <c r="J10" s="14">
        <v>77.099999999999994</v>
      </c>
    </row>
    <row r="11" spans="1:10">
      <c r="A11" s="13">
        <v>2</v>
      </c>
      <c r="B11" s="14">
        <v>2.2999999999999998</v>
      </c>
      <c r="E11" s="13" t="s">
        <v>211</v>
      </c>
      <c r="F11" s="14">
        <v>10.199999999999999</v>
      </c>
      <c r="G11" s="14">
        <v>10.75</v>
      </c>
      <c r="I11" s="13" t="s">
        <v>211</v>
      </c>
      <c r="J11" s="14">
        <v>56.7</v>
      </c>
    </row>
    <row r="12" spans="1:10">
      <c r="A12" s="13">
        <v>2.1</v>
      </c>
      <c r="B12" s="14">
        <v>7.6</v>
      </c>
      <c r="E12" s="13" t="s">
        <v>160</v>
      </c>
      <c r="F12" s="14">
        <v>5.0999999999999996</v>
      </c>
      <c r="G12" s="14">
        <v>3.6</v>
      </c>
      <c r="I12" s="13" t="s">
        <v>160</v>
      </c>
      <c r="J12" s="14">
        <v>29.8</v>
      </c>
    </row>
    <row r="13" spans="1:10">
      <c r="A13" s="13">
        <v>2.4</v>
      </c>
      <c r="B13" s="14">
        <v>8.8000000000000007</v>
      </c>
      <c r="E13" s="13" t="s">
        <v>197</v>
      </c>
      <c r="F13" s="14">
        <v>7.2</v>
      </c>
      <c r="G13" s="14">
        <v>27.25</v>
      </c>
      <c r="I13" s="13" t="s">
        <v>197</v>
      </c>
      <c r="J13" s="14">
        <v>89.7</v>
      </c>
    </row>
    <row r="14" spans="1:10">
      <c r="A14" s="13">
        <v>2.5</v>
      </c>
      <c r="B14" s="14">
        <v>3.2</v>
      </c>
      <c r="E14" s="13" t="s">
        <v>116</v>
      </c>
      <c r="F14" s="14">
        <v>7.4</v>
      </c>
      <c r="G14" s="14">
        <v>4.5</v>
      </c>
      <c r="I14" s="13" t="s">
        <v>116</v>
      </c>
      <c r="J14" s="14">
        <v>111.8</v>
      </c>
    </row>
    <row r="15" spans="1:10">
      <c r="A15" s="13">
        <v>2.6</v>
      </c>
      <c r="B15" s="14">
        <v>2.4</v>
      </c>
      <c r="E15" s="13" t="s">
        <v>109</v>
      </c>
      <c r="F15" s="14">
        <v>3.1</v>
      </c>
      <c r="G15" s="14">
        <v>4.5</v>
      </c>
      <c r="I15" s="13" t="s">
        <v>109</v>
      </c>
      <c r="J15" s="14">
        <v>66.3</v>
      </c>
    </row>
    <row r="16" spans="1:10">
      <c r="A16" s="13">
        <v>2.8</v>
      </c>
      <c r="B16" s="14">
        <v>38.799999999999997</v>
      </c>
      <c r="E16" s="13" t="s">
        <v>166</v>
      </c>
      <c r="F16" s="14">
        <v>2.8</v>
      </c>
      <c r="G16" s="14">
        <v>5.75</v>
      </c>
      <c r="I16" s="13" t="s">
        <v>166</v>
      </c>
      <c r="J16" s="14">
        <v>0.1</v>
      </c>
    </row>
    <row r="17" spans="1:10">
      <c r="A17" s="13">
        <v>2.9</v>
      </c>
      <c r="B17" s="14">
        <v>3.1999999999999997</v>
      </c>
      <c r="E17" s="13" t="s">
        <v>118</v>
      </c>
      <c r="F17" s="14">
        <v>3.2</v>
      </c>
      <c r="G17" s="14">
        <v>6.5</v>
      </c>
      <c r="I17" s="13" t="s">
        <v>118</v>
      </c>
      <c r="J17" s="14">
        <v>84.2</v>
      </c>
    </row>
    <row r="18" spans="1:10">
      <c r="A18" s="13">
        <v>3.1</v>
      </c>
      <c r="B18" s="14">
        <v>67.2</v>
      </c>
      <c r="E18" s="13" t="s">
        <v>173</v>
      </c>
      <c r="F18" s="14">
        <v>5.4</v>
      </c>
      <c r="G18" s="14">
        <v>6</v>
      </c>
      <c r="I18" s="13" t="s">
        <v>173</v>
      </c>
      <c r="J18" s="14">
        <v>39.799999999999997</v>
      </c>
    </row>
    <row r="19" spans="1:10">
      <c r="A19" s="13">
        <v>3.8</v>
      </c>
      <c r="B19" s="14">
        <v>2.1</v>
      </c>
      <c r="E19" s="13" t="s">
        <v>223</v>
      </c>
      <c r="F19" s="14">
        <v>3.4</v>
      </c>
      <c r="G19" s="14">
        <v>4.75</v>
      </c>
      <c r="I19" s="13" t="s">
        <v>223</v>
      </c>
      <c r="J19" s="14">
        <v>60.9</v>
      </c>
    </row>
    <row r="20" spans="1:10">
      <c r="A20" s="13">
        <v>3.9</v>
      </c>
      <c r="B20" s="14">
        <v>1.9</v>
      </c>
      <c r="E20" s="13" t="s">
        <v>144</v>
      </c>
      <c r="F20" s="14">
        <v>7.6</v>
      </c>
      <c r="G20" s="14">
        <v>4.5</v>
      </c>
      <c r="I20" s="13" t="s">
        <v>144</v>
      </c>
      <c r="J20" s="14">
        <v>144.4</v>
      </c>
    </row>
    <row r="21" spans="1:10">
      <c r="A21" s="13">
        <v>4.2</v>
      </c>
      <c r="B21" s="14">
        <v>2</v>
      </c>
      <c r="E21" s="13" t="s">
        <v>106</v>
      </c>
      <c r="F21" s="14">
        <v>2.4</v>
      </c>
      <c r="G21" s="14">
        <v>-0.1</v>
      </c>
      <c r="I21" s="13" t="s">
        <v>106</v>
      </c>
      <c r="J21" s="14">
        <v>263.10000000000002</v>
      </c>
    </row>
    <row r="22" spans="1:10">
      <c r="A22" s="13">
        <v>5.0999999999999996</v>
      </c>
      <c r="B22" s="14">
        <v>2.8</v>
      </c>
      <c r="E22" s="13" t="s">
        <v>180</v>
      </c>
      <c r="F22" s="14">
        <v>3.4</v>
      </c>
      <c r="G22" s="14">
        <v>3</v>
      </c>
      <c r="I22" s="13" t="s">
        <v>180</v>
      </c>
      <c r="J22" s="14">
        <v>70.099999999999994</v>
      </c>
    </row>
    <row r="23" spans="1:10">
      <c r="A23" s="13">
        <v>5.2</v>
      </c>
      <c r="B23" s="14">
        <v>0.8</v>
      </c>
      <c r="E23" s="13" t="s">
        <v>140</v>
      </c>
      <c r="F23" s="14">
        <v>2.8</v>
      </c>
      <c r="G23" s="14">
        <v>11</v>
      </c>
      <c r="I23" s="13" t="s">
        <v>140</v>
      </c>
      <c r="J23" s="14">
        <v>54.7</v>
      </c>
    </row>
    <row r="24" spans="1:10">
      <c r="A24" s="13">
        <v>5.8</v>
      </c>
      <c r="B24" s="14">
        <v>3.7</v>
      </c>
      <c r="E24" s="13" t="s">
        <v>149</v>
      </c>
      <c r="F24" s="14">
        <v>3.6</v>
      </c>
      <c r="G24" s="14">
        <v>4.5</v>
      </c>
      <c r="I24" s="13" t="s">
        <v>149</v>
      </c>
      <c r="J24" s="14">
        <v>52.4</v>
      </c>
    </row>
    <row r="25" spans="1:10">
      <c r="A25" s="13">
        <v>6.4</v>
      </c>
      <c r="B25" s="14">
        <v>4.0999999999999996</v>
      </c>
      <c r="E25" s="13" t="s">
        <v>200</v>
      </c>
      <c r="F25" s="14">
        <v>5.0999999999999996</v>
      </c>
      <c r="G25" s="14">
        <v>18.75</v>
      </c>
      <c r="I25" s="13" t="s">
        <v>200</v>
      </c>
      <c r="J25" s="14">
        <v>37.1</v>
      </c>
    </row>
    <row r="26" spans="1:10">
      <c r="A26" s="13">
        <v>6.8</v>
      </c>
      <c r="B26" s="14">
        <v>4.9000000000000004</v>
      </c>
      <c r="E26" s="13" t="s">
        <v>157</v>
      </c>
      <c r="F26" s="14">
        <v>3.4</v>
      </c>
      <c r="G26" s="14">
        <v>4.5</v>
      </c>
      <c r="I26" s="13" t="s">
        <v>157</v>
      </c>
      <c r="J26" s="14">
        <v>45.7</v>
      </c>
    </row>
    <row r="27" spans="1:10">
      <c r="A27" s="13" t="s">
        <v>253</v>
      </c>
      <c r="B27" s="14">
        <v>182.20000000000002</v>
      </c>
      <c r="E27" s="13" t="s">
        <v>214</v>
      </c>
      <c r="F27" s="14">
        <v>6.4</v>
      </c>
      <c r="G27" s="14">
        <v>5.75</v>
      </c>
      <c r="I27" s="13" t="s">
        <v>214</v>
      </c>
      <c r="J27" s="14">
        <v>34.200000000000003</v>
      </c>
    </row>
    <row r="28" spans="1:10">
      <c r="E28" s="13" t="s">
        <v>184</v>
      </c>
      <c r="F28" s="14">
        <v>5.9</v>
      </c>
      <c r="G28" s="14">
        <v>6.5</v>
      </c>
      <c r="I28" s="13" t="s">
        <v>184</v>
      </c>
      <c r="J28" s="14">
        <v>63.5</v>
      </c>
    </row>
    <row r="29" spans="1:10">
      <c r="E29" s="13" t="s">
        <v>136</v>
      </c>
      <c r="F29" s="14">
        <v>3.4</v>
      </c>
      <c r="G29" s="14">
        <v>16</v>
      </c>
      <c r="I29" s="13" t="s">
        <v>136</v>
      </c>
      <c r="J29" s="14">
        <v>21.4</v>
      </c>
    </row>
    <row r="30" spans="1:10">
      <c r="E30" s="13" t="s">
        <v>220</v>
      </c>
      <c r="F30" s="14">
        <v>5.8</v>
      </c>
      <c r="G30" s="14">
        <v>6</v>
      </c>
      <c r="I30" s="13" t="s">
        <v>220</v>
      </c>
      <c r="J30" s="14">
        <v>26.7</v>
      </c>
    </row>
    <row r="31" spans="1:10">
      <c r="E31" s="13" t="s">
        <v>163</v>
      </c>
      <c r="F31" s="14">
        <v>2.1</v>
      </c>
      <c r="G31" s="14">
        <v>3.5</v>
      </c>
      <c r="I31" s="13" t="s">
        <v>163</v>
      </c>
      <c r="J31" s="14">
        <v>130.1</v>
      </c>
    </row>
    <row r="32" spans="1:10">
      <c r="E32" s="13" t="s">
        <v>194</v>
      </c>
      <c r="F32" s="14">
        <v>28.7</v>
      </c>
      <c r="G32" s="14">
        <v>8.25</v>
      </c>
      <c r="I32" s="13" t="s">
        <v>194</v>
      </c>
      <c r="J32" s="14">
        <v>71.099999999999994</v>
      </c>
    </row>
    <row r="33" spans="5:10">
      <c r="E33" s="13" t="s">
        <v>133</v>
      </c>
      <c r="F33" s="14">
        <v>2.9</v>
      </c>
      <c r="G33" s="14">
        <v>3.5</v>
      </c>
      <c r="I33" s="13" t="s">
        <v>133</v>
      </c>
      <c r="J33" s="14">
        <v>54.6</v>
      </c>
    </row>
    <row r="34" spans="5:10">
      <c r="E34" s="13" t="s">
        <v>146</v>
      </c>
      <c r="F34" s="14">
        <v>11.5</v>
      </c>
      <c r="G34" s="14">
        <v>4.5</v>
      </c>
      <c r="I34" s="13" t="s">
        <v>146</v>
      </c>
      <c r="J34" s="14">
        <v>107.7</v>
      </c>
    </row>
    <row r="35" spans="5:10">
      <c r="E35" s="13" t="s">
        <v>154</v>
      </c>
      <c r="F35" s="14">
        <v>7.8</v>
      </c>
      <c r="G35" s="14">
        <v>3.75</v>
      </c>
      <c r="I35" s="13" t="s">
        <v>154</v>
      </c>
      <c r="J35" s="14">
        <v>35.1</v>
      </c>
    </row>
    <row r="36" spans="5:10">
      <c r="E36" s="13" t="s">
        <v>151</v>
      </c>
      <c r="F36" s="14">
        <v>2.4</v>
      </c>
      <c r="G36" s="14">
        <v>1.25</v>
      </c>
      <c r="I36" s="13" t="s">
        <v>151</v>
      </c>
      <c r="J36" s="14">
        <v>41</v>
      </c>
    </row>
    <row r="37" spans="5:10">
      <c r="E37" s="13" t="s">
        <v>170</v>
      </c>
      <c r="F37" s="14">
        <v>3.7</v>
      </c>
      <c r="G37" s="14">
        <v>1.5</v>
      </c>
      <c r="I37" s="13" t="s">
        <v>170</v>
      </c>
      <c r="J37" s="14">
        <v>28.7</v>
      </c>
    </row>
    <row r="38" spans="5:10">
      <c r="E38" s="13" t="s">
        <v>176</v>
      </c>
      <c r="F38" s="14">
        <v>1.2</v>
      </c>
      <c r="G38" s="14">
        <v>2.5</v>
      </c>
      <c r="I38" s="13" t="s">
        <v>176</v>
      </c>
      <c r="J38" s="14">
        <v>61.4</v>
      </c>
    </row>
    <row r="39" spans="5:10">
      <c r="E39" s="13" t="s">
        <v>190</v>
      </c>
      <c r="F39" s="14">
        <v>10.5</v>
      </c>
      <c r="G39" s="14">
        <v>50</v>
      </c>
      <c r="I39" s="13" t="s">
        <v>190</v>
      </c>
      <c r="J39" s="14">
        <v>32.1</v>
      </c>
    </row>
    <row r="40" spans="5:10">
      <c r="E40" s="13" t="s">
        <v>217</v>
      </c>
      <c r="F40" s="14">
        <v>2.8</v>
      </c>
      <c r="G40" s="14">
        <v>5.4</v>
      </c>
      <c r="I40" s="13" t="s">
        <v>217</v>
      </c>
      <c r="J40" s="14">
        <v>34.5</v>
      </c>
    </row>
    <row r="41" spans="5:10">
      <c r="E41" s="13" t="s">
        <v>112</v>
      </c>
      <c r="F41" s="14">
        <v>4.2</v>
      </c>
      <c r="G41" s="14">
        <v>5.25</v>
      </c>
      <c r="I41" s="13" t="s">
        <v>112</v>
      </c>
      <c r="J41" s="14">
        <v>101.2</v>
      </c>
    </row>
    <row r="42" spans="5:10">
      <c r="E42" s="13" t="s">
        <v>96</v>
      </c>
      <c r="F42" s="14">
        <v>3.7</v>
      </c>
      <c r="G42" s="14">
        <v>5.5</v>
      </c>
      <c r="I42" s="13" t="s">
        <v>96</v>
      </c>
      <c r="J42" s="14">
        <v>126.4</v>
      </c>
    </row>
    <row r="43" spans="5:10">
      <c r="E43" s="13" t="s">
        <v>187</v>
      </c>
      <c r="F43" s="14">
        <v>12.3</v>
      </c>
      <c r="G43" s="14">
        <v>4.5</v>
      </c>
      <c r="I43" s="13" t="s">
        <v>187</v>
      </c>
      <c r="J43" s="14">
        <v>43.1</v>
      </c>
    </row>
    <row r="44" spans="5:10">
      <c r="E44" s="13" t="s">
        <v>265</v>
      </c>
      <c r="F44" s="14"/>
      <c r="G44" s="14"/>
      <c r="I44" s="13" t="s">
        <v>265</v>
      </c>
      <c r="J44" s="14"/>
    </row>
    <row r="45" spans="5:10">
      <c r="E45" s="13" t="s">
        <v>253</v>
      </c>
      <c r="F45" s="14">
        <v>229.60000000000002</v>
      </c>
      <c r="G45" s="14">
        <v>415.09999999999997</v>
      </c>
      <c r="I45" s="13" t="s">
        <v>253</v>
      </c>
      <c r="J45" s="14">
        <v>2652.8999999999992</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675A-1406-460E-905E-9844582EDB28}">
  <dimension ref="A1"/>
  <sheetViews>
    <sheetView showGridLines="0" zoomScale="71" workbookViewId="0">
      <selection activeCell="G6" sqref="G6"/>
    </sheetView>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4A31-D1ED-4DF6-9813-5B5CA2C97131}">
  <dimension ref="A1:Z42"/>
  <sheetViews>
    <sheetView workbookViewId="0">
      <selection activeCell="A3" sqref="A3:Z42"/>
    </sheetView>
  </sheetViews>
  <sheetFormatPr defaultRowHeight="14.4"/>
  <cols>
    <col min="1" max="1" width="14" bestFit="1" customWidth="1"/>
    <col min="2" max="2" width="10.33203125" bestFit="1" customWidth="1"/>
    <col min="3" max="3" width="18.21875" bestFit="1" customWidth="1"/>
    <col min="4" max="4" width="13.6640625" bestFit="1" customWidth="1"/>
    <col min="5" max="5" width="22.33203125" bestFit="1" customWidth="1"/>
    <col min="6" max="6" width="25.109375" bestFit="1" customWidth="1"/>
    <col min="7" max="7" width="26.5546875" bestFit="1" customWidth="1"/>
    <col min="8" max="8" width="22.77734375" bestFit="1" customWidth="1"/>
    <col min="9" max="9" width="22.109375" bestFit="1" customWidth="1"/>
    <col min="10" max="10" width="29.109375" bestFit="1" customWidth="1"/>
    <col min="11" max="11" width="16.21875" bestFit="1" customWidth="1"/>
    <col min="12" max="12" width="20.77734375" bestFit="1" customWidth="1"/>
    <col min="13" max="13" width="30.21875" bestFit="1" customWidth="1"/>
    <col min="14" max="14" width="31.21875" bestFit="1" customWidth="1"/>
    <col min="15" max="15" width="36.44140625" bestFit="1" customWidth="1"/>
    <col min="16" max="16" width="23.109375" bestFit="1" customWidth="1"/>
    <col min="17" max="17" width="18.88671875" bestFit="1" customWidth="1"/>
    <col min="18" max="18" width="21.21875" bestFit="1" customWidth="1"/>
    <col min="19" max="19" width="23.5546875" bestFit="1" customWidth="1"/>
    <col min="20" max="20" width="24.44140625" bestFit="1" customWidth="1"/>
    <col min="21" max="21" width="14.5546875" bestFit="1" customWidth="1"/>
    <col min="22" max="22" width="20" bestFit="1" customWidth="1"/>
    <col min="23" max="23" width="23" bestFit="1" customWidth="1"/>
    <col min="24" max="24" width="18.6640625" bestFit="1" customWidth="1"/>
    <col min="25" max="25" width="23.6640625" bestFit="1" customWidth="1"/>
    <col min="26" max="26" width="24" bestFit="1" customWidth="1"/>
  </cols>
  <sheetData>
    <row r="1" spans="1:26">
      <c r="A1" s="1" t="s">
        <v>274</v>
      </c>
    </row>
    <row r="3" spans="1:26">
      <c r="A3" t="s">
        <v>70</v>
      </c>
      <c r="B3" t="s">
        <v>71</v>
      </c>
      <c r="C3" t="s">
        <v>72</v>
      </c>
      <c r="D3" t="s">
        <v>73</v>
      </c>
      <c r="E3" t="s">
        <v>74</v>
      </c>
      <c r="F3" t="s">
        <v>75</v>
      </c>
      <c r="G3" t="s">
        <v>76</v>
      </c>
      <c r="H3" t="s">
        <v>77</v>
      </c>
      <c r="I3" t="s">
        <v>78</v>
      </c>
      <c r="J3" t="s">
        <v>79</v>
      </c>
      <c r="K3" t="s">
        <v>80</v>
      </c>
      <c r="L3" t="s">
        <v>81</v>
      </c>
      <c r="M3" t="s">
        <v>82</v>
      </c>
      <c r="N3" t="s">
        <v>83</v>
      </c>
      <c r="O3" t="s">
        <v>84</v>
      </c>
      <c r="P3" t="s">
        <v>85</v>
      </c>
      <c r="Q3" t="s">
        <v>86</v>
      </c>
      <c r="R3" t="s">
        <v>87</v>
      </c>
      <c r="S3" t="s">
        <v>88</v>
      </c>
      <c r="T3" t="s">
        <v>89</v>
      </c>
      <c r="U3" t="s">
        <v>90</v>
      </c>
      <c r="V3" t="s">
        <v>91</v>
      </c>
      <c r="W3" t="s">
        <v>92</v>
      </c>
      <c r="X3" t="s">
        <v>93</v>
      </c>
      <c r="Y3" t="s">
        <v>94</v>
      </c>
      <c r="Z3" t="s">
        <v>95</v>
      </c>
    </row>
    <row r="4" spans="1:26">
      <c r="A4" t="s">
        <v>96</v>
      </c>
      <c r="B4" s="7">
        <v>45519</v>
      </c>
      <c r="C4" t="s">
        <v>97</v>
      </c>
      <c r="D4">
        <v>5437.2</v>
      </c>
      <c r="E4">
        <v>0.34</v>
      </c>
      <c r="F4">
        <v>51.2</v>
      </c>
      <c r="G4">
        <v>2.8</v>
      </c>
      <c r="H4">
        <v>2.9</v>
      </c>
      <c r="I4">
        <v>5.5</v>
      </c>
      <c r="J4">
        <v>3.7</v>
      </c>
      <c r="K4" t="s">
        <v>98</v>
      </c>
      <c r="L4">
        <v>1</v>
      </c>
      <c r="M4">
        <v>0</v>
      </c>
      <c r="N4">
        <v>126.4</v>
      </c>
      <c r="O4">
        <v>-695.2</v>
      </c>
      <c r="P4">
        <v>456.8</v>
      </c>
      <c r="Q4">
        <v>1.1200000000000001</v>
      </c>
      <c r="R4">
        <v>77.849999999999994</v>
      </c>
      <c r="S4">
        <v>2487.5</v>
      </c>
      <c r="T4">
        <v>4.25</v>
      </c>
      <c r="U4" t="s">
        <v>99</v>
      </c>
      <c r="V4">
        <v>8.1</v>
      </c>
      <c r="W4" t="s">
        <v>100</v>
      </c>
      <c r="X4">
        <v>145.6</v>
      </c>
      <c r="Y4">
        <v>3.2</v>
      </c>
      <c r="Z4">
        <v>2.8</v>
      </c>
    </row>
    <row r="5" spans="1:26">
      <c r="A5" t="s">
        <v>101</v>
      </c>
      <c r="B5" s="7">
        <v>45519</v>
      </c>
      <c r="C5" t="s">
        <v>102</v>
      </c>
      <c r="D5">
        <v>2891.6</v>
      </c>
      <c r="E5">
        <v>-0.82</v>
      </c>
      <c r="F5">
        <v>12.4</v>
      </c>
      <c r="G5">
        <v>5.2</v>
      </c>
      <c r="H5">
        <v>0.8</v>
      </c>
      <c r="I5">
        <v>3.1</v>
      </c>
      <c r="J5">
        <v>5.2</v>
      </c>
      <c r="K5" t="s">
        <v>103</v>
      </c>
      <c r="L5">
        <v>7.28</v>
      </c>
      <c r="M5">
        <v>2.2999999999999998</v>
      </c>
      <c r="N5">
        <v>77.099999999999994</v>
      </c>
      <c r="O5">
        <v>382.9</v>
      </c>
      <c r="P5">
        <v>189.7</v>
      </c>
      <c r="Q5">
        <v>0.98</v>
      </c>
      <c r="R5">
        <v>77.849999999999994</v>
      </c>
      <c r="S5">
        <v>2487.5</v>
      </c>
      <c r="T5">
        <v>2.15</v>
      </c>
      <c r="U5" t="s">
        <v>104</v>
      </c>
      <c r="V5">
        <v>6.7</v>
      </c>
      <c r="W5" t="s">
        <v>105</v>
      </c>
      <c r="X5">
        <v>98.7</v>
      </c>
      <c r="Y5">
        <v>8.9</v>
      </c>
      <c r="Z5">
        <v>6.1</v>
      </c>
    </row>
    <row r="6" spans="1:26">
      <c r="A6" t="s">
        <v>106</v>
      </c>
      <c r="B6" s="7">
        <v>45519</v>
      </c>
      <c r="C6" t="s">
        <v>107</v>
      </c>
      <c r="D6">
        <v>36789.1</v>
      </c>
      <c r="E6">
        <v>1.24</v>
      </c>
      <c r="F6">
        <v>6.8</v>
      </c>
      <c r="G6">
        <v>0.9</v>
      </c>
      <c r="H6">
        <v>2.8</v>
      </c>
      <c r="I6">
        <v>-0.1</v>
      </c>
      <c r="J6">
        <v>2.4</v>
      </c>
      <c r="K6" t="s">
        <v>108</v>
      </c>
      <c r="L6">
        <v>147.19999999999999</v>
      </c>
      <c r="M6">
        <v>-8.9</v>
      </c>
      <c r="N6">
        <v>263.10000000000002</v>
      </c>
      <c r="O6">
        <v>49.7</v>
      </c>
      <c r="P6">
        <v>23.4</v>
      </c>
      <c r="Q6">
        <v>1.05</v>
      </c>
      <c r="R6">
        <v>77.849999999999994</v>
      </c>
      <c r="S6">
        <v>2487.5</v>
      </c>
      <c r="T6">
        <v>0.89</v>
      </c>
      <c r="U6" t="s">
        <v>104</v>
      </c>
      <c r="V6">
        <v>8.4</v>
      </c>
      <c r="W6" t="s">
        <v>100</v>
      </c>
      <c r="X6">
        <v>89.3</v>
      </c>
      <c r="Y6">
        <v>5.0999999999999996</v>
      </c>
      <c r="Z6">
        <v>4.7</v>
      </c>
    </row>
    <row r="7" spans="1:26">
      <c r="A7" t="s">
        <v>109</v>
      </c>
      <c r="B7" s="7">
        <v>45519</v>
      </c>
      <c r="C7" t="s">
        <v>110</v>
      </c>
      <c r="D7">
        <v>18234.5</v>
      </c>
      <c r="E7">
        <v>0.67</v>
      </c>
      <c r="F7">
        <v>2.9</v>
      </c>
      <c r="G7">
        <v>0.3</v>
      </c>
      <c r="H7">
        <v>2.2000000000000002</v>
      </c>
      <c r="I7">
        <v>4.5</v>
      </c>
      <c r="J7">
        <v>3.1</v>
      </c>
      <c r="K7" t="s">
        <v>111</v>
      </c>
      <c r="L7">
        <v>0.92</v>
      </c>
      <c r="M7">
        <v>1.8</v>
      </c>
      <c r="N7">
        <v>66.3</v>
      </c>
      <c r="O7">
        <v>297.39999999999998</v>
      </c>
      <c r="P7">
        <v>67.8</v>
      </c>
      <c r="Q7">
        <v>1.08</v>
      </c>
      <c r="R7">
        <v>77.849999999999994</v>
      </c>
      <c r="S7">
        <v>2487.5</v>
      </c>
      <c r="T7">
        <v>2.31</v>
      </c>
      <c r="U7" t="s">
        <v>99</v>
      </c>
      <c r="V7">
        <v>8.6999999999999993</v>
      </c>
      <c r="W7" t="s">
        <v>100</v>
      </c>
      <c r="X7">
        <v>112.4</v>
      </c>
      <c r="Y7">
        <v>2.1</v>
      </c>
      <c r="Z7">
        <v>1.8</v>
      </c>
    </row>
    <row r="8" spans="1:26">
      <c r="A8" t="s">
        <v>112</v>
      </c>
      <c r="B8" s="7">
        <v>45519</v>
      </c>
      <c r="C8" t="s">
        <v>113</v>
      </c>
      <c r="D8">
        <v>8156.3</v>
      </c>
      <c r="E8">
        <v>-0.15</v>
      </c>
      <c r="F8">
        <v>3.1</v>
      </c>
      <c r="G8">
        <v>1.1000000000000001</v>
      </c>
      <c r="H8">
        <v>2</v>
      </c>
      <c r="I8">
        <v>5.25</v>
      </c>
      <c r="J8">
        <v>4.2</v>
      </c>
      <c r="K8" t="s">
        <v>114</v>
      </c>
      <c r="L8">
        <v>0.78</v>
      </c>
      <c r="M8">
        <v>-0.9</v>
      </c>
      <c r="N8">
        <v>101.2</v>
      </c>
      <c r="O8">
        <v>-85.6</v>
      </c>
      <c r="P8">
        <v>45.2</v>
      </c>
      <c r="Q8">
        <v>1.06</v>
      </c>
      <c r="R8">
        <v>77.849999999999994</v>
      </c>
      <c r="S8">
        <v>2487.5</v>
      </c>
      <c r="T8">
        <v>3.89</v>
      </c>
      <c r="U8" t="s">
        <v>115</v>
      </c>
      <c r="V8">
        <v>7.9</v>
      </c>
      <c r="W8" t="s">
        <v>105</v>
      </c>
      <c r="X8">
        <v>97.8</v>
      </c>
      <c r="Y8">
        <v>0.9</v>
      </c>
      <c r="Z8">
        <v>1.2</v>
      </c>
    </row>
    <row r="9" spans="1:26">
      <c r="A9" t="s">
        <v>116</v>
      </c>
      <c r="B9" s="7">
        <v>45519</v>
      </c>
      <c r="C9" t="s">
        <v>117</v>
      </c>
      <c r="D9">
        <v>7389.2</v>
      </c>
      <c r="E9">
        <v>0.28000000000000003</v>
      </c>
      <c r="F9">
        <v>3</v>
      </c>
      <c r="G9">
        <v>1.3</v>
      </c>
      <c r="H9">
        <v>2.2999999999999998</v>
      </c>
      <c r="I9">
        <v>4.5</v>
      </c>
      <c r="J9">
        <v>7.4</v>
      </c>
      <c r="K9" t="s">
        <v>111</v>
      </c>
      <c r="L9">
        <v>0.92</v>
      </c>
      <c r="M9">
        <v>1.8</v>
      </c>
      <c r="N9">
        <v>111.8</v>
      </c>
      <c r="O9">
        <v>-22.1</v>
      </c>
      <c r="P9">
        <v>56.7</v>
      </c>
      <c r="Q9">
        <v>1.08</v>
      </c>
      <c r="R9">
        <v>77.849999999999994</v>
      </c>
      <c r="S9">
        <v>2487.5</v>
      </c>
      <c r="T9">
        <v>2.95</v>
      </c>
      <c r="U9" t="s">
        <v>115</v>
      </c>
      <c r="V9">
        <v>7.3</v>
      </c>
      <c r="W9" t="s">
        <v>105</v>
      </c>
      <c r="X9">
        <v>103.2</v>
      </c>
      <c r="Y9">
        <v>1.8</v>
      </c>
      <c r="Z9">
        <v>2.1</v>
      </c>
    </row>
    <row r="10" spans="1:26">
      <c r="A10" t="s">
        <v>118</v>
      </c>
      <c r="B10" s="7">
        <v>45519</v>
      </c>
      <c r="C10" t="s">
        <v>119</v>
      </c>
      <c r="D10">
        <v>80456.7</v>
      </c>
      <c r="E10">
        <v>0.89</v>
      </c>
      <c r="F10">
        <v>4.3</v>
      </c>
      <c r="G10">
        <v>6.8</v>
      </c>
      <c r="H10">
        <v>4.9000000000000004</v>
      </c>
      <c r="I10">
        <v>6.5</v>
      </c>
      <c r="J10">
        <v>3.2</v>
      </c>
      <c r="K10" t="s">
        <v>120</v>
      </c>
      <c r="L10">
        <v>83.7</v>
      </c>
      <c r="M10">
        <v>-0.5</v>
      </c>
      <c r="N10">
        <v>84.2</v>
      </c>
      <c r="O10">
        <v>-23.1</v>
      </c>
      <c r="P10">
        <v>67.400000000000006</v>
      </c>
      <c r="Q10">
        <v>1.1499999999999999</v>
      </c>
      <c r="R10">
        <v>77.849999999999994</v>
      </c>
      <c r="S10">
        <v>2487.5</v>
      </c>
      <c r="T10">
        <v>7.04</v>
      </c>
      <c r="U10" t="s">
        <v>121</v>
      </c>
      <c r="V10">
        <v>6.8</v>
      </c>
      <c r="W10" t="s">
        <v>105</v>
      </c>
      <c r="X10">
        <v>134.80000000000001</v>
      </c>
      <c r="Y10">
        <v>13.2</v>
      </c>
      <c r="Z10">
        <v>10.9</v>
      </c>
    </row>
    <row r="11" spans="1:26">
      <c r="A11" t="s">
        <v>122</v>
      </c>
      <c r="B11" s="7">
        <v>45519</v>
      </c>
      <c r="C11" t="s">
        <v>123</v>
      </c>
      <c r="D11">
        <v>22567.8</v>
      </c>
      <c r="E11">
        <v>0.45</v>
      </c>
      <c r="F11">
        <v>2.8</v>
      </c>
      <c r="G11">
        <v>2.9</v>
      </c>
      <c r="H11">
        <v>2.8</v>
      </c>
      <c r="I11">
        <v>4.75</v>
      </c>
      <c r="J11">
        <v>6.1</v>
      </c>
      <c r="K11" t="s">
        <v>124</v>
      </c>
      <c r="L11">
        <v>1.37</v>
      </c>
      <c r="M11">
        <v>4.2</v>
      </c>
      <c r="N11">
        <v>106.7</v>
      </c>
      <c r="O11">
        <v>12.8</v>
      </c>
      <c r="P11">
        <v>34.5</v>
      </c>
      <c r="Q11">
        <v>1.0900000000000001</v>
      </c>
      <c r="R11">
        <v>77.849999999999994</v>
      </c>
      <c r="S11">
        <v>2487.5</v>
      </c>
      <c r="T11">
        <v>3.42</v>
      </c>
      <c r="U11" t="s">
        <v>99</v>
      </c>
      <c r="V11">
        <v>8.9</v>
      </c>
      <c r="W11" t="s">
        <v>100</v>
      </c>
      <c r="X11">
        <v>126.7</v>
      </c>
      <c r="Y11">
        <v>4.0999999999999996</v>
      </c>
      <c r="Z11">
        <v>3.8</v>
      </c>
    </row>
    <row r="12" spans="1:26">
      <c r="A12" t="s">
        <v>125</v>
      </c>
      <c r="B12" s="7">
        <v>45519</v>
      </c>
      <c r="C12" t="s">
        <v>126</v>
      </c>
      <c r="D12">
        <v>129834.2</v>
      </c>
      <c r="E12">
        <v>1.67</v>
      </c>
      <c r="F12">
        <v>1.4</v>
      </c>
      <c r="G12">
        <v>2.1</v>
      </c>
      <c r="H12">
        <v>4.5</v>
      </c>
      <c r="I12">
        <v>10.75</v>
      </c>
      <c r="J12">
        <v>7.8</v>
      </c>
      <c r="K12" t="s">
        <v>127</v>
      </c>
      <c r="L12">
        <v>5.47</v>
      </c>
      <c r="M12">
        <v>-8.9</v>
      </c>
      <c r="N12">
        <v>87.7</v>
      </c>
      <c r="O12">
        <v>-46.9</v>
      </c>
      <c r="P12">
        <v>67.2</v>
      </c>
      <c r="Q12">
        <v>0.95</v>
      </c>
      <c r="R12">
        <v>77.849999999999994</v>
      </c>
      <c r="S12">
        <v>2487.5</v>
      </c>
      <c r="T12">
        <v>10.84</v>
      </c>
      <c r="U12" t="s">
        <v>128</v>
      </c>
      <c r="V12">
        <v>5.4</v>
      </c>
      <c r="W12" t="s">
        <v>129</v>
      </c>
      <c r="X12">
        <v>89.3</v>
      </c>
      <c r="Y12">
        <v>8.6999999999999993</v>
      </c>
      <c r="Z12">
        <v>6.9</v>
      </c>
    </row>
    <row r="13" spans="1:26">
      <c r="A13" t="s">
        <v>130</v>
      </c>
      <c r="B13" s="7">
        <v>45519</v>
      </c>
      <c r="C13" t="s">
        <v>131</v>
      </c>
      <c r="D13">
        <v>7923.4</v>
      </c>
      <c r="E13">
        <v>0.22</v>
      </c>
      <c r="F13">
        <v>1.8</v>
      </c>
      <c r="G13">
        <v>1.7</v>
      </c>
      <c r="H13">
        <v>3.8</v>
      </c>
      <c r="I13">
        <v>4.3499999999999996</v>
      </c>
      <c r="J13">
        <v>4.0999999999999996</v>
      </c>
      <c r="K13" t="s">
        <v>132</v>
      </c>
      <c r="L13">
        <v>1.52</v>
      </c>
      <c r="M13">
        <v>5.6</v>
      </c>
      <c r="N13">
        <v>45.1</v>
      </c>
      <c r="O13">
        <v>67.8</v>
      </c>
      <c r="P13">
        <v>45.7</v>
      </c>
      <c r="Q13">
        <v>1.1100000000000001</v>
      </c>
      <c r="R13">
        <v>77.849999999999994</v>
      </c>
      <c r="S13">
        <v>2487.5</v>
      </c>
      <c r="T13">
        <v>4.07</v>
      </c>
      <c r="U13" t="s">
        <v>99</v>
      </c>
      <c r="V13">
        <v>8.6</v>
      </c>
      <c r="W13" t="s">
        <v>100</v>
      </c>
      <c r="X13">
        <v>118.9</v>
      </c>
      <c r="Y13">
        <v>6.2</v>
      </c>
      <c r="Z13">
        <v>5.4</v>
      </c>
    </row>
    <row r="14" spans="1:26">
      <c r="A14" t="s">
        <v>133</v>
      </c>
      <c r="B14" s="7">
        <v>45519</v>
      </c>
      <c r="C14" t="s">
        <v>134</v>
      </c>
      <c r="D14">
        <v>2634.5</v>
      </c>
      <c r="E14">
        <v>-0.34</v>
      </c>
      <c r="F14">
        <v>1.9</v>
      </c>
      <c r="G14">
        <v>3.1</v>
      </c>
      <c r="H14">
        <v>2.4</v>
      </c>
      <c r="I14">
        <v>3.5</v>
      </c>
      <c r="J14">
        <v>2.9</v>
      </c>
      <c r="K14" t="s">
        <v>135</v>
      </c>
      <c r="L14">
        <v>1342.5</v>
      </c>
      <c r="M14">
        <v>-2.1</v>
      </c>
      <c r="N14">
        <v>54.6</v>
      </c>
      <c r="O14">
        <v>67.400000000000006</v>
      </c>
      <c r="P14">
        <v>12.8</v>
      </c>
      <c r="Q14">
        <v>1.02</v>
      </c>
      <c r="R14">
        <v>77.849999999999994</v>
      </c>
      <c r="S14">
        <v>2487.5</v>
      </c>
      <c r="T14">
        <v>3.28</v>
      </c>
      <c r="U14" t="s">
        <v>115</v>
      </c>
      <c r="V14">
        <v>7.8</v>
      </c>
      <c r="W14" t="s">
        <v>100</v>
      </c>
      <c r="X14">
        <v>95.6</v>
      </c>
      <c r="Y14">
        <v>9.1</v>
      </c>
      <c r="Z14">
        <v>7.8</v>
      </c>
    </row>
    <row r="15" spans="1:26">
      <c r="A15" t="s">
        <v>136</v>
      </c>
      <c r="B15" s="7">
        <v>45519</v>
      </c>
      <c r="C15" t="s">
        <v>137</v>
      </c>
      <c r="D15">
        <v>2789.1</v>
      </c>
      <c r="E15">
        <v>0.78</v>
      </c>
      <c r="F15">
        <v>0.6</v>
      </c>
      <c r="G15">
        <v>-1.9</v>
      </c>
      <c r="H15">
        <v>7.4</v>
      </c>
      <c r="I15">
        <v>16</v>
      </c>
      <c r="J15">
        <v>3.4</v>
      </c>
      <c r="K15" t="s">
        <v>138</v>
      </c>
      <c r="L15">
        <v>91.2</v>
      </c>
      <c r="M15">
        <v>-15.6</v>
      </c>
      <c r="N15">
        <v>21.4</v>
      </c>
      <c r="O15">
        <v>67.8</v>
      </c>
      <c r="P15">
        <v>8.9</v>
      </c>
      <c r="Q15">
        <v>0.87</v>
      </c>
      <c r="R15">
        <v>77.849999999999994</v>
      </c>
      <c r="S15">
        <v>2487.5</v>
      </c>
      <c r="T15">
        <v>12.45</v>
      </c>
      <c r="U15" t="s">
        <v>139</v>
      </c>
      <c r="V15">
        <v>3.2</v>
      </c>
      <c r="W15" t="s">
        <v>129</v>
      </c>
      <c r="X15">
        <v>67.400000000000006</v>
      </c>
      <c r="Y15">
        <v>15.2</v>
      </c>
      <c r="Z15">
        <v>18.7</v>
      </c>
    </row>
    <row r="16" spans="1:26">
      <c r="A16" t="s">
        <v>140</v>
      </c>
      <c r="B16" s="7">
        <v>45519</v>
      </c>
      <c r="C16" t="s">
        <v>141</v>
      </c>
      <c r="D16">
        <v>55234.6</v>
      </c>
      <c r="E16">
        <v>0.91</v>
      </c>
      <c r="F16">
        <v>0.7</v>
      </c>
      <c r="G16">
        <v>2.4</v>
      </c>
      <c r="H16">
        <v>4.7</v>
      </c>
      <c r="I16">
        <v>11</v>
      </c>
      <c r="J16">
        <v>2.8</v>
      </c>
      <c r="K16" t="s">
        <v>142</v>
      </c>
      <c r="L16">
        <v>19.8</v>
      </c>
      <c r="M16">
        <v>-10.199999999999999</v>
      </c>
      <c r="N16">
        <v>54.7</v>
      </c>
      <c r="O16">
        <v>-12.4</v>
      </c>
      <c r="P16">
        <v>34.700000000000003</v>
      </c>
      <c r="Q16">
        <v>0.89</v>
      </c>
      <c r="R16">
        <v>77.849999999999994</v>
      </c>
      <c r="S16">
        <v>2487.5</v>
      </c>
      <c r="T16">
        <v>9.1199999999999992</v>
      </c>
      <c r="U16" t="s">
        <v>143</v>
      </c>
      <c r="V16">
        <v>6.1</v>
      </c>
      <c r="W16" t="s">
        <v>105</v>
      </c>
      <c r="X16">
        <v>102.3</v>
      </c>
      <c r="Y16">
        <v>7.9</v>
      </c>
      <c r="Z16">
        <v>8.1999999999999993</v>
      </c>
    </row>
    <row r="17" spans="1:26">
      <c r="A17" t="s">
        <v>144</v>
      </c>
      <c r="B17" s="7">
        <v>45519</v>
      </c>
      <c r="C17" t="s">
        <v>145</v>
      </c>
      <c r="D17">
        <v>33456.699999999997</v>
      </c>
      <c r="E17">
        <v>0.34</v>
      </c>
      <c r="F17">
        <v>0.9</v>
      </c>
      <c r="G17">
        <v>0.7</v>
      </c>
      <c r="H17">
        <v>1</v>
      </c>
      <c r="I17">
        <v>4.5</v>
      </c>
      <c r="J17">
        <v>7.6</v>
      </c>
      <c r="K17" t="s">
        <v>111</v>
      </c>
      <c r="L17">
        <v>0.92</v>
      </c>
      <c r="M17">
        <v>1.8</v>
      </c>
      <c r="N17">
        <v>144.4</v>
      </c>
      <c r="O17">
        <v>-56.7</v>
      </c>
      <c r="P17">
        <v>28.9</v>
      </c>
      <c r="Q17">
        <v>1.08</v>
      </c>
      <c r="R17">
        <v>77.849999999999994</v>
      </c>
      <c r="S17">
        <v>2487.5</v>
      </c>
      <c r="T17">
        <v>3.67</v>
      </c>
      <c r="U17" t="s">
        <v>143</v>
      </c>
      <c r="V17">
        <v>7.1</v>
      </c>
      <c r="W17" t="s">
        <v>105</v>
      </c>
      <c r="X17">
        <v>89.7</v>
      </c>
      <c r="Y17">
        <v>3.2</v>
      </c>
      <c r="Z17">
        <v>2.9</v>
      </c>
    </row>
    <row r="18" spans="1:26">
      <c r="A18" t="s">
        <v>146</v>
      </c>
      <c r="B18" s="7">
        <v>45519</v>
      </c>
      <c r="C18" t="s">
        <v>147</v>
      </c>
      <c r="D18">
        <v>11123.8</v>
      </c>
      <c r="E18">
        <v>0.67</v>
      </c>
      <c r="F18">
        <v>0.8</v>
      </c>
      <c r="G18">
        <v>2.5</v>
      </c>
      <c r="H18">
        <v>3.2</v>
      </c>
      <c r="I18">
        <v>4.5</v>
      </c>
      <c r="J18">
        <v>11.5</v>
      </c>
      <c r="K18" t="s">
        <v>111</v>
      </c>
      <c r="L18">
        <v>0.92</v>
      </c>
      <c r="M18">
        <v>1.8</v>
      </c>
      <c r="N18">
        <v>107.7</v>
      </c>
      <c r="O18">
        <v>23.4</v>
      </c>
      <c r="P18">
        <v>45.6</v>
      </c>
      <c r="Q18">
        <v>1.08</v>
      </c>
      <c r="R18">
        <v>77.849999999999994</v>
      </c>
      <c r="S18">
        <v>2487.5</v>
      </c>
      <c r="T18">
        <v>3.21</v>
      </c>
      <c r="U18" t="s">
        <v>148</v>
      </c>
      <c r="V18">
        <v>7.8</v>
      </c>
      <c r="W18" t="s">
        <v>105</v>
      </c>
      <c r="X18">
        <v>98.3</v>
      </c>
      <c r="Y18">
        <v>4.0999999999999996</v>
      </c>
      <c r="Z18">
        <v>3.7</v>
      </c>
    </row>
    <row r="19" spans="1:26">
      <c r="A19" t="s">
        <v>149</v>
      </c>
      <c r="B19" s="7">
        <v>45519</v>
      </c>
      <c r="C19" t="s">
        <v>150</v>
      </c>
      <c r="D19">
        <v>889.3</v>
      </c>
      <c r="E19">
        <v>0.12</v>
      </c>
      <c r="F19">
        <v>1.1000000000000001</v>
      </c>
      <c r="G19">
        <v>0.6</v>
      </c>
      <c r="H19">
        <v>1.1000000000000001</v>
      </c>
      <c r="I19">
        <v>4.5</v>
      </c>
      <c r="J19">
        <v>3.6</v>
      </c>
      <c r="K19" t="s">
        <v>111</v>
      </c>
      <c r="L19">
        <v>0.92</v>
      </c>
      <c r="M19">
        <v>1.8</v>
      </c>
      <c r="N19">
        <v>52.4</v>
      </c>
      <c r="O19">
        <v>89.7</v>
      </c>
      <c r="P19">
        <v>78.900000000000006</v>
      </c>
      <c r="Q19">
        <v>1.08</v>
      </c>
      <c r="R19">
        <v>77.849999999999994</v>
      </c>
      <c r="S19">
        <v>2487.5</v>
      </c>
      <c r="T19">
        <v>2.78</v>
      </c>
      <c r="U19" t="s">
        <v>99</v>
      </c>
      <c r="V19">
        <v>8.8000000000000007</v>
      </c>
      <c r="W19" t="s">
        <v>100</v>
      </c>
      <c r="X19">
        <v>134.5</v>
      </c>
      <c r="Y19">
        <v>2.8</v>
      </c>
      <c r="Z19">
        <v>2.4</v>
      </c>
    </row>
    <row r="20" spans="1:26">
      <c r="A20" t="s">
        <v>151</v>
      </c>
      <c r="B20" s="7">
        <v>45519</v>
      </c>
      <c r="C20" t="s">
        <v>152</v>
      </c>
      <c r="D20">
        <v>12234.5</v>
      </c>
      <c r="E20">
        <v>0.28000000000000003</v>
      </c>
      <c r="F20">
        <v>1.8</v>
      </c>
      <c r="G20">
        <v>1.2</v>
      </c>
      <c r="H20">
        <v>1.4</v>
      </c>
      <c r="I20">
        <v>1.25</v>
      </c>
      <c r="J20">
        <v>2.4</v>
      </c>
      <c r="K20" t="s">
        <v>153</v>
      </c>
      <c r="L20">
        <v>0.87</v>
      </c>
      <c r="M20">
        <v>6.2</v>
      </c>
      <c r="N20">
        <v>41</v>
      </c>
      <c r="O20">
        <v>67.8</v>
      </c>
      <c r="P20">
        <v>23.4</v>
      </c>
      <c r="Q20">
        <v>1.1299999999999999</v>
      </c>
      <c r="R20">
        <v>77.849999999999994</v>
      </c>
      <c r="S20">
        <v>2487.5</v>
      </c>
      <c r="T20">
        <v>0.68</v>
      </c>
      <c r="U20" t="s">
        <v>99</v>
      </c>
      <c r="V20">
        <v>9.1</v>
      </c>
      <c r="W20" t="s">
        <v>100</v>
      </c>
      <c r="X20">
        <v>142.6</v>
      </c>
      <c r="Y20">
        <v>1.9</v>
      </c>
      <c r="Z20">
        <v>2.1</v>
      </c>
    </row>
    <row r="21" spans="1:26">
      <c r="A21" t="s">
        <v>154</v>
      </c>
      <c r="B21" s="7">
        <v>45519</v>
      </c>
      <c r="C21" t="s">
        <v>155</v>
      </c>
      <c r="D21">
        <v>2567.8000000000002</v>
      </c>
      <c r="E21">
        <v>0.45</v>
      </c>
      <c r="F21">
        <v>0.7</v>
      </c>
      <c r="G21">
        <v>0.8</v>
      </c>
      <c r="H21">
        <v>1.9</v>
      </c>
      <c r="I21">
        <v>3.75</v>
      </c>
      <c r="J21">
        <v>7.8</v>
      </c>
      <c r="K21" t="s">
        <v>156</v>
      </c>
      <c r="L21">
        <v>10.9</v>
      </c>
      <c r="M21">
        <v>-4.7</v>
      </c>
      <c r="N21">
        <v>35.1</v>
      </c>
      <c r="O21">
        <v>34.5</v>
      </c>
      <c r="P21">
        <v>12.8</v>
      </c>
      <c r="Q21">
        <v>1.07</v>
      </c>
      <c r="R21">
        <v>77.849999999999994</v>
      </c>
      <c r="S21">
        <v>2487.5</v>
      </c>
      <c r="T21">
        <v>2.34</v>
      </c>
      <c r="U21" t="s">
        <v>99</v>
      </c>
      <c r="V21">
        <v>8.9</v>
      </c>
      <c r="W21" t="s">
        <v>100</v>
      </c>
      <c r="X21">
        <v>119.8</v>
      </c>
      <c r="Y21">
        <v>3.4</v>
      </c>
      <c r="Z21">
        <v>2.9</v>
      </c>
    </row>
    <row r="22" spans="1:26">
      <c r="A22" t="s">
        <v>157</v>
      </c>
      <c r="B22" s="7">
        <v>45519</v>
      </c>
      <c r="C22" t="s">
        <v>158</v>
      </c>
      <c r="D22">
        <v>1345.6</v>
      </c>
      <c r="E22">
        <v>0.67</v>
      </c>
      <c r="F22">
        <v>0.4</v>
      </c>
      <c r="G22">
        <v>2.1</v>
      </c>
      <c r="H22">
        <v>3.1</v>
      </c>
      <c r="I22">
        <v>4.5</v>
      </c>
      <c r="J22">
        <v>3.4</v>
      </c>
      <c r="K22" t="s">
        <v>159</v>
      </c>
      <c r="L22">
        <v>11.2</v>
      </c>
      <c r="M22">
        <v>2.8</v>
      </c>
      <c r="N22">
        <v>45.7</v>
      </c>
      <c r="O22">
        <v>78.900000000000006</v>
      </c>
      <c r="P22">
        <v>8.9</v>
      </c>
      <c r="Q22">
        <v>1.1399999999999999</v>
      </c>
      <c r="R22">
        <v>77.849999999999994</v>
      </c>
      <c r="S22">
        <v>2487.5</v>
      </c>
      <c r="T22">
        <v>3.12</v>
      </c>
      <c r="U22" t="s">
        <v>99</v>
      </c>
      <c r="V22">
        <v>9</v>
      </c>
      <c r="W22" t="s">
        <v>100</v>
      </c>
      <c r="X22">
        <v>127.3</v>
      </c>
      <c r="Y22">
        <v>8.9</v>
      </c>
      <c r="Z22">
        <v>6.7</v>
      </c>
    </row>
    <row r="23" spans="1:26">
      <c r="A23" t="s">
        <v>160</v>
      </c>
      <c r="B23" s="7">
        <v>45519</v>
      </c>
      <c r="C23" t="s">
        <v>161</v>
      </c>
      <c r="D23">
        <v>2234.5</v>
      </c>
      <c r="E23">
        <v>0.23</v>
      </c>
      <c r="F23">
        <v>0.4</v>
      </c>
      <c r="G23">
        <v>1.8</v>
      </c>
      <c r="H23">
        <v>1.7</v>
      </c>
      <c r="I23">
        <v>3.6</v>
      </c>
      <c r="J23">
        <v>5.0999999999999996</v>
      </c>
      <c r="K23" t="s">
        <v>162</v>
      </c>
      <c r="L23">
        <v>6.86</v>
      </c>
      <c r="M23">
        <v>1.9</v>
      </c>
      <c r="N23">
        <v>29.8</v>
      </c>
      <c r="O23">
        <v>23.4</v>
      </c>
      <c r="P23">
        <v>5.6</v>
      </c>
      <c r="Q23">
        <v>1.08</v>
      </c>
      <c r="R23">
        <v>77.849999999999994</v>
      </c>
      <c r="S23">
        <v>2487.5</v>
      </c>
      <c r="T23">
        <v>2.4500000000000002</v>
      </c>
      <c r="U23" t="s">
        <v>99</v>
      </c>
      <c r="V23">
        <v>8.9</v>
      </c>
      <c r="W23" t="s">
        <v>100</v>
      </c>
      <c r="X23">
        <v>124.7</v>
      </c>
      <c r="Y23">
        <v>2.1</v>
      </c>
      <c r="Z23">
        <v>1.8</v>
      </c>
    </row>
    <row r="24" spans="1:26">
      <c r="A24" t="s">
        <v>163</v>
      </c>
      <c r="B24" s="7">
        <v>45519</v>
      </c>
      <c r="C24" t="s">
        <v>164</v>
      </c>
      <c r="D24">
        <v>3456.7</v>
      </c>
      <c r="E24">
        <v>0.56000000000000005</v>
      </c>
      <c r="F24">
        <v>0.8</v>
      </c>
      <c r="G24">
        <v>2.6</v>
      </c>
      <c r="H24">
        <v>2.4</v>
      </c>
      <c r="I24">
        <v>3.5</v>
      </c>
      <c r="J24">
        <v>2.1</v>
      </c>
      <c r="K24" t="s">
        <v>165</v>
      </c>
      <c r="L24">
        <v>1.35</v>
      </c>
      <c r="M24">
        <v>1.2</v>
      </c>
      <c r="N24">
        <v>130.1</v>
      </c>
      <c r="O24">
        <v>67.8</v>
      </c>
      <c r="P24">
        <v>89.7</v>
      </c>
      <c r="Q24">
        <v>1.0900000000000001</v>
      </c>
      <c r="R24">
        <v>77.849999999999994</v>
      </c>
      <c r="S24">
        <v>2487.5</v>
      </c>
      <c r="T24">
        <v>3.18</v>
      </c>
      <c r="U24" t="s">
        <v>99</v>
      </c>
      <c r="V24">
        <v>8.6999999999999993</v>
      </c>
      <c r="W24" t="s">
        <v>100</v>
      </c>
      <c r="X24">
        <v>98.9</v>
      </c>
      <c r="Y24">
        <v>12.4</v>
      </c>
      <c r="Z24">
        <v>11.7</v>
      </c>
    </row>
    <row r="25" spans="1:26">
      <c r="A25" t="s">
        <v>166</v>
      </c>
      <c r="B25" s="7">
        <v>45519</v>
      </c>
      <c r="C25" t="s">
        <v>167</v>
      </c>
      <c r="D25">
        <v>17234.5</v>
      </c>
      <c r="E25">
        <v>-1.23</v>
      </c>
      <c r="F25">
        <v>4.2</v>
      </c>
      <c r="G25">
        <v>3.2</v>
      </c>
      <c r="H25">
        <v>1.8</v>
      </c>
      <c r="I25">
        <v>5.75</v>
      </c>
      <c r="J25">
        <v>2.8</v>
      </c>
      <c r="K25" t="s">
        <v>168</v>
      </c>
      <c r="L25">
        <v>7.82</v>
      </c>
      <c r="M25">
        <v>0.1</v>
      </c>
      <c r="N25">
        <v>0.1</v>
      </c>
      <c r="O25">
        <v>34.5</v>
      </c>
      <c r="P25">
        <v>67.8</v>
      </c>
      <c r="Q25">
        <v>0.98</v>
      </c>
      <c r="R25">
        <v>77.849999999999994</v>
      </c>
      <c r="S25">
        <v>2487.5</v>
      </c>
      <c r="T25">
        <v>3.89</v>
      </c>
      <c r="U25" t="s">
        <v>169</v>
      </c>
      <c r="V25">
        <v>7.2</v>
      </c>
      <c r="W25" t="s">
        <v>105</v>
      </c>
      <c r="X25">
        <v>87.6</v>
      </c>
      <c r="Y25">
        <v>6.7</v>
      </c>
      <c r="Z25">
        <v>5.9</v>
      </c>
    </row>
    <row r="26" spans="1:26">
      <c r="A26" t="s">
        <v>170</v>
      </c>
      <c r="B26" s="7">
        <v>45519</v>
      </c>
      <c r="C26" t="s">
        <v>171</v>
      </c>
      <c r="D26">
        <v>22567.8</v>
      </c>
      <c r="E26">
        <v>0.78</v>
      </c>
      <c r="F26">
        <v>2.1</v>
      </c>
      <c r="G26">
        <v>3.8</v>
      </c>
      <c r="H26">
        <v>2.1</v>
      </c>
      <c r="I26">
        <v>1.5</v>
      </c>
      <c r="J26">
        <v>3.7</v>
      </c>
      <c r="K26" t="s">
        <v>172</v>
      </c>
      <c r="L26">
        <v>32.1</v>
      </c>
      <c r="M26">
        <v>-1.8</v>
      </c>
      <c r="N26">
        <v>28.7</v>
      </c>
      <c r="O26">
        <v>89.7</v>
      </c>
      <c r="P26">
        <v>12.3</v>
      </c>
      <c r="Q26">
        <v>1.04</v>
      </c>
      <c r="R26">
        <v>77.849999999999994</v>
      </c>
      <c r="S26">
        <v>2487.5</v>
      </c>
      <c r="T26">
        <v>1.23</v>
      </c>
      <c r="U26" t="s">
        <v>115</v>
      </c>
      <c r="V26">
        <v>8.1</v>
      </c>
      <c r="W26" t="s">
        <v>100</v>
      </c>
      <c r="X26">
        <v>112.4</v>
      </c>
      <c r="Y26">
        <v>15.2</v>
      </c>
      <c r="Z26">
        <v>13.8</v>
      </c>
    </row>
    <row r="27" spans="1:26">
      <c r="A27" t="s">
        <v>173</v>
      </c>
      <c r="B27" s="7">
        <v>45519</v>
      </c>
      <c r="C27" t="s">
        <v>174</v>
      </c>
      <c r="D27">
        <v>7234.5</v>
      </c>
      <c r="E27">
        <v>0.45</v>
      </c>
      <c r="F27">
        <v>0.7</v>
      </c>
      <c r="G27">
        <v>5.0999999999999996</v>
      </c>
      <c r="H27">
        <v>2.8</v>
      </c>
      <c r="I27">
        <v>6</v>
      </c>
      <c r="J27">
        <v>5.4</v>
      </c>
      <c r="K27" t="s">
        <v>175</v>
      </c>
      <c r="L27">
        <v>15487</v>
      </c>
      <c r="M27">
        <v>-2.2999999999999998</v>
      </c>
      <c r="N27">
        <v>39.799999999999997</v>
      </c>
      <c r="O27">
        <v>-12.1</v>
      </c>
      <c r="P27">
        <v>23.4</v>
      </c>
      <c r="Q27">
        <v>0.94</v>
      </c>
      <c r="R27">
        <v>77.849999999999994</v>
      </c>
      <c r="S27">
        <v>2487.5</v>
      </c>
      <c r="T27">
        <v>7.12</v>
      </c>
      <c r="U27" t="s">
        <v>143</v>
      </c>
      <c r="V27">
        <v>6.5</v>
      </c>
      <c r="W27" t="s">
        <v>105</v>
      </c>
      <c r="X27">
        <v>89.7</v>
      </c>
      <c r="Y27">
        <v>8.9</v>
      </c>
      <c r="Z27">
        <v>7.3</v>
      </c>
    </row>
    <row r="28" spans="1:26">
      <c r="A28" t="s">
        <v>176</v>
      </c>
      <c r="B28" s="7">
        <v>45519</v>
      </c>
      <c r="C28" t="s">
        <v>177</v>
      </c>
      <c r="D28">
        <v>1567.8</v>
      </c>
      <c r="E28">
        <v>0.34</v>
      </c>
      <c r="F28">
        <v>0.6</v>
      </c>
      <c r="G28">
        <v>2.9</v>
      </c>
      <c r="H28">
        <v>0.4</v>
      </c>
      <c r="I28">
        <v>2.5</v>
      </c>
      <c r="J28">
        <v>1.2</v>
      </c>
      <c r="K28" t="s">
        <v>178</v>
      </c>
      <c r="L28">
        <v>36.200000000000003</v>
      </c>
      <c r="M28">
        <v>3.4</v>
      </c>
      <c r="N28">
        <v>61.4</v>
      </c>
      <c r="O28">
        <v>12.8</v>
      </c>
      <c r="P28">
        <v>8.9</v>
      </c>
      <c r="Q28">
        <v>0.97</v>
      </c>
      <c r="R28">
        <v>77.849999999999994</v>
      </c>
      <c r="S28">
        <v>2487.5</v>
      </c>
      <c r="T28">
        <v>2.67</v>
      </c>
      <c r="U28" t="s">
        <v>179</v>
      </c>
      <c r="V28">
        <v>7.1</v>
      </c>
      <c r="W28" t="s">
        <v>105</v>
      </c>
      <c r="X28">
        <v>95.3</v>
      </c>
      <c r="Y28">
        <v>4.0999999999999996</v>
      </c>
      <c r="Z28">
        <v>3.8</v>
      </c>
    </row>
    <row r="29" spans="1:26">
      <c r="A29" t="s">
        <v>180</v>
      </c>
      <c r="B29" s="7">
        <v>45519</v>
      </c>
      <c r="C29" t="s">
        <v>181</v>
      </c>
      <c r="D29">
        <v>1634.5</v>
      </c>
      <c r="E29">
        <v>0.67</v>
      </c>
      <c r="F29">
        <v>0.5</v>
      </c>
      <c r="G29">
        <v>4.2</v>
      </c>
      <c r="H29">
        <v>2</v>
      </c>
      <c r="I29">
        <v>3</v>
      </c>
      <c r="J29">
        <v>3.4</v>
      </c>
      <c r="K29" t="s">
        <v>182</v>
      </c>
      <c r="L29">
        <v>4.67</v>
      </c>
      <c r="M29">
        <v>-6.7</v>
      </c>
      <c r="N29">
        <v>70.099999999999994</v>
      </c>
      <c r="O29">
        <v>23.4</v>
      </c>
      <c r="P29">
        <v>12.1</v>
      </c>
      <c r="Q29">
        <v>0.91</v>
      </c>
      <c r="R29">
        <v>77.849999999999994</v>
      </c>
      <c r="S29">
        <v>2487.5</v>
      </c>
      <c r="T29">
        <v>3.78</v>
      </c>
      <c r="U29" t="s">
        <v>183</v>
      </c>
      <c r="V29">
        <v>7.3</v>
      </c>
      <c r="W29" t="s">
        <v>105</v>
      </c>
      <c r="X29">
        <v>87.9</v>
      </c>
      <c r="Y29">
        <v>6.7</v>
      </c>
      <c r="Z29">
        <v>5.9</v>
      </c>
    </row>
    <row r="30" spans="1:26">
      <c r="A30" t="s">
        <v>184</v>
      </c>
      <c r="B30" s="7">
        <v>45519</v>
      </c>
      <c r="C30" t="s">
        <v>185</v>
      </c>
      <c r="D30">
        <v>6789.1</v>
      </c>
      <c r="E30">
        <v>0.89</v>
      </c>
      <c r="F30">
        <v>0.3</v>
      </c>
      <c r="G30">
        <v>5.8</v>
      </c>
      <c r="H30">
        <v>3.7</v>
      </c>
      <c r="I30">
        <v>6.5</v>
      </c>
      <c r="J30">
        <v>5.9</v>
      </c>
      <c r="K30" t="s">
        <v>186</v>
      </c>
      <c r="L30">
        <v>56.3</v>
      </c>
      <c r="M30">
        <v>-8.9</v>
      </c>
      <c r="N30">
        <v>63.5</v>
      </c>
      <c r="O30">
        <v>-8.9</v>
      </c>
      <c r="P30">
        <v>9.8000000000000007</v>
      </c>
      <c r="Q30">
        <v>0.88</v>
      </c>
      <c r="R30">
        <v>77.849999999999994</v>
      </c>
      <c r="S30">
        <v>2487.5</v>
      </c>
      <c r="T30">
        <v>6.45</v>
      </c>
      <c r="U30" t="s">
        <v>179</v>
      </c>
      <c r="V30">
        <v>6.8</v>
      </c>
      <c r="W30" t="s">
        <v>105</v>
      </c>
      <c r="X30">
        <v>78.900000000000006</v>
      </c>
      <c r="Y30">
        <v>8.1</v>
      </c>
      <c r="Z30">
        <v>7.4</v>
      </c>
    </row>
    <row r="31" spans="1:26">
      <c r="A31" t="s">
        <v>187</v>
      </c>
      <c r="B31" s="7">
        <v>45519</v>
      </c>
      <c r="C31" t="s">
        <v>188</v>
      </c>
      <c r="D31">
        <v>1234.5</v>
      </c>
      <c r="E31">
        <v>1.23</v>
      </c>
      <c r="F31">
        <v>0.3</v>
      </c>
      <c r="G31">
        <v>6.4</v>
      </c>
      <c r="H31">
        <v>4.0999999999999996</v>
      </c>
      <c r="I31">
        <v>4.5</v>
      </c>
      <c r="J31">
        <v>12.3</v>
      </c>
      <c r="K31" t="s">
        <v>189</v>
      </c>
      <c r="L31">
        <v>24789</v>
      </c>
      <c r="M31">
        <v>-3.4</v>
      </c>
      <c r="N31">
        <v>43.1</v>
      </c>
      <c r="O31">
        <v>12.8</v>
      </c>
      <c r="P31">
        <v>15.6</v>
      </c>
      <c r="Q31">
        <v>0.85</v>
      </c>
      <c r="R31">
        <v>77.849999999999994</v>
      </c>
      <c r="S31">
        <v>2487.5</v>
      </c>
      <c r="T31">
        <v>2.89</v>
      </c>
      <c r="U31" t="s">
        <v>139</v>
      </c>
      <c r="V31">
        <v>6.2</v>
      </c>
      <c r="W31" t="s">
        <v>105</v>
      </c>
      <c r="X31">
        <v>123.4</v>
      </c>
      <c r="Y31">
        <v>12.8</v>
      </c>
      <c r="Z31">
        <v>14.2</v>
      </c>
    </row>
    <row r="32" spans="1:26">
      <c r="A32" t="s">
        <v>190</v>
      </c>
      <c r="B32" s="7">
        <v>45519</v>
      </c>
      <c r="C32" t="s">
        <v>191</v>
      </c>
      <c r="D32">
        <v>10567.8</v>
      </c>
      <c r="E32">
        <v>2.34</v>
      </c>
      <c r="F32">
        <v>0.3</v>
      </c>
      <c r="G32">
        <v>3.1</v>
      </c>
      <c r="H32">
        <v>64.8</v>
      </c>
      <c r="I32">
        <v>50</v>
      </c>
      <c r="J32">
        <v>10.5</v>
      </c>
      <c r="K32" t="s">
        <v>192</v>
      </c>
      <c r="L32">
        <v>33.700000000000003</v>
      </c>
      <c r="M32">
        <v>-35.6</v>
      </c>
      <c r="N32">
        <v>32.1</v>
      </c>
      <c r="O32">
        <v>-45.6</v>
      </c>
      <c r="P32">
        <v>12.8</v>
      </c>
      <c r="Q32">
        <v>0.76</v>
      </c>
      <c r="R32">
        <v>77.849999999999994</v>
      </c>
      <c r="S32">
        <v>2487.5</v>
      </c>
      <c r="T32">
        <v>28.45</v>
      </c>
      <c r="U32" t="s">
        <v>193</v>
      </c>
      <c r="V32">
        <v>4.8</v>
      </c>
      <c r="W32" t="s">
        <v>129</v>
      </c>
      <c r="X32">
        <v>67.8</v>
      </c>
      <c r="Y32">
        <v>3.4</v>
      </c>
      <c r="Z32">
        <v>8.9</v>
      </c>
    </row>
    <row r="33" spans="1:26">
      <c r="A33" t="s">
        <v>194</v>
      </c>
      <c r="B33" s="7">
        <v>45519</v>
      </c>
      <c r="C33" t="s">
        <v>195</v>
      </c>
      <c r="D33">
        <v>75234.600000000006</v>
      </c>
      <c r="E33">
        <v>0.78</v>
      </c>
      <c r="F33">
        <v>0.4</v>
      </c>
      <c r="G33">
        <v>0.9</v>
      </c>
      <c r="H33">
        <v>4.7</v>
      </c>
      <c r="I33">
        <v>8.25</v>
      </c>
      <c r="J33">
        <v>28.7</v>
      </c>
      <c r="K33" t="s">
        <v>196</v>
      </c>
      <c r="L33">
        <v>18.2</v>
      </c>
      <c r="M33">
        <v>-7.8</v>
      </c>
      <c r="N33">
        <v>71.099999999999994</v>
      </c>
      <c r="O33">
        <v>8.9</v>
      </c>
      <c r="P33">
        <v>4.5</v>
      </c>
      <c r="Q33">
        <v>0.82</v>
      </c>
      <c r="R33">
        <v>77.849999999999994</v>
      </c>
      <c r="S33">
        <v>2487.5</v>
      </c>
      <c r="T33">
        <v>11.78</v>
      </c>
      <c r="U33" t="s">
        <v>128</v>
      </c>
      <c r="V33">
        <v>5.9</v>
      </c>
      <c r="W33" t="s">
        <v>129</v>
      </c>
      <c r="X33">
        <v>89.3</v>
      </c>
      <c r="Y33">
        <v>2.1</v>
      </c>
      <c r="Z33">
        <v>1.8</v>
      </c>
    </row>
    <row r="34" spans="1:26">
      <c r="A34" t="s">
        <v>197</v>
      </c>
      <c r="B34" s="7">
        <v>45519</v>
      </c>
      <c r="C34" t="s">
        <v>198</v>
      </c>
      <c r="D34">
        <v>25678.9</v>
      </c>
      <c r="E34">
        <v>1.45</v>
      </c>
      <c r="F34">
        <v>0.03</v>
      </c>
      <c r="G34">
        <v>2.8</v>
      </c>
      <c r="H34">
        <v>33.1</v>
      </c>
      <c r="I34">
        <v>27.25</v>
      </c>
      <c r="J34">
        <v>7.2</v>
      </c>
      <c r="K34" t="s">
        <v>199</v>
      </c>
      <c r="L34">
        <v>30.9</v>
      </c>
      <c r="M34">
        <v>-49.7</v>
      </c>
      <c r="N34">
        <v>89.7</v>
      </c>
      <c r="O34">
        <v>-18.899999999999999</v>
      </c>
      <c r="P34">
        <v>8.9</v>
      </c>
      <c r="Q34">
        <v>0.71</v>
      </c>
      <c r="R34">
        <v>77.849999999999994</v>
      </c>
      <c r="S34">
        <v>2487.5</v>
      </c>
      <c r="T34">
        <v>19.45</v>
      </c>
      <c r="U34" t="s">
        <v>193</v>
      </c>
      <c r="V34">
        <v>4.2</v>
      </c>
      <c r="W34" t="s">
        <v>129</v>
      </c>
      <c r="X34">
        <v>56.7</v>
      </c>
      <c r="Y34">
        <v>12.3</v>
      </c>
      <c r="Z34">
        <v>23.4</v>
      </c>
    </row>
    <row r="35" spans="1:26">
      <c r="A35" t="s">
        <v>200</v>
      </c>
      <c r="B35" s="7">
        <v>45519</v>
      </c>
      <c r="C35" t="s">
        <v>201</v>
      </c>
      <c r="D35">
        <v>98765.4</v>
      </c>
      <c r="E35">
        <v>2.1</v>
      </c>
      <c r="F35">
        <v>0.04</v>
      </c>
      <c r="G35">
        <v>3.2</v>
      </c>
      <c r="H35">
        <v>21.8</v>
      </c>
      <c r="I35">
        <v>18.75</v>
      </c>
      <c r="J35">
        <v>5.0999999999999996</v>
      </c>
      <c r="K35" t="s">
        <v>202</v>
      </c>
      <c r="L35">
        <v>1567</v>
      </c>
      <c r="M35">
        <v>-68.900000000000006</v>
      </c>
      <c r="N35">
        <v>37.1</v>
      </c>
      <c r="O35">
        <v>34.5</v>
      </c>
      <c r="P35">
        <v>2.2999999999999998</v>
      </c>
      <c r="Q35">
        <v>0.68</v>
      </c>
      <c r="R35">
        <v>77.849999999999994</v>
      </c>
      <c r="S35">
        <v>2487.5</v>
      </c>
      <c r="T35">
        <v>14.67</v>
      </c>
      <c r="U35" t="s">
        <v>203</v>
      </c>
      <c r="V35">
        <v>3.8</v>
      </c>
      <c r="W35" t="s">
        <v>129</v>
      </c>
      <c r="X35">
        <v>78.900000000000006</v>
      </c>
      <c r="Y35">
        <v>23.4</v>
      </c>
      <c r="Z35">
        <v>34.5</v>
      </c>
    </row>
    <row r="36" spans="1:26">
      <c r="A36" t="s">
        <v>204</v>
      </c>
      <c r="B36" s="7">
        <v>45519</v>
      </c>
      <c r="C36" t="s">
        <v>205</v>
      </c>
      <c r="D36">
        <v>5678.9</v>
      </c>
      <c r="E36">
        <v>0.67</v>
      </c>
      <c r="F36">
        <v>0.2</v>
      </c>
      <c r="G36">
        <v>2.4</v>
      </c>
      <c r="H36">
        <v>4.0999999999999996</v>
      </c>
      <c r="I36">
        <v>5.75</v>
      </c>
      <c r="J36">
        <v>8.8000000000000007</v>
      </c>
      <c r="K36" t="s">
        <v>206</v>
      </c>
      <c r="L36">
        <v>967</v>
      </c>
      <c r="M36">
        <v>-8.9</v>
      </c>
      <c r="N36">
        <v>37.799999999999997</v>
      </c>
      <c r="O36">
        <v>23.4</v>
      </c>
      <c r="P36">
        <v>18.899999999999999</v>
      </c>
      <c r="Q36">
        <v>0.93</v>
      </c>
      <c r="R36">
        <v>77.849999999999994</v>
      </c>
      <c r="S36">
        <v>2487.5</v>
      </c>
      <c r="T36">
        <v>5.89</v>
      </c>
      <c r="U36" t="s">
        <v>148</v>
      </c>
      <c r="V36">
        <v>7.8</v>
      </c>
      <c r="W36" t="s">
        <v>105</v>
      </c>
      <c r="X36">
        <v>95.6</v>
      </c>
      <c r="Y36">
        <v>6.7</v>
      </c>
      <c r="Z36">
        <v>5.2</v>
      </c>
    </row>
    <row r="37" spans="1:26">
      <c r="A37" t="s">
        <v>207</v>
      </c>
      <c r="B37" s="7">
        <v>45519</v>
      </c>
      <c r="C37" t="s">
        <v>208</v>
      </c>
      <c r="D37">
        <v>1567890.2</v>
      </c>
      <c r="E37">
        <v>3.45</v>
      </c>
      <c r="F37">
        <v>0.05</v>
      </c>
      <c r="G37">
        <v>-1.6</v>
      </c>
      <c r="H37">
        <v>211.4</v>
      </c>
      <c r="I37">
        <v>133</v>
      </c>
      <c r="J37">
        <v>6.2</v>
      </c>
      <c r="K37" t="s">
        <v>209</v>
      </c>
      <c r="L37">
        <v>945</v>
      </c>
      <c r="M37">
        <v>-89.7</v>
      </c>
      <c r="N37">
        <v>78.900000000000006</v>
      </c>
      <c r="O37">
        <v>-23.4</v>
      </c>
      <c r="P37">
        <v>4.5</v>
      </c>
      <c r="Q37">
        <v>0.45</v>
      </c>
      <c r="R37">
        <v>77.849999999999994</v>
      </c>
      <c r="S37">
        <v>2487.5</v>
      </c>
      <c r="T37">
        <v>89.45</v>
      </c>
      <c r="U37" t="s">
        <v>210</v>
      </c>
      <c r="V37">
        <v>2.1</v>
      </c>
      <c r="W37" t="s">
        <v>129</v>
      </c>
      <c r="X37">
        <v>34.5</v>
      </c>
      <c r="Y37">
        <v>-12.3</v>
      </c>
      <c r="Z37">
        <v>15.6</v>
      </c>
    </row>
    <row r="38" spans="1:26">
      <c r="A38" t="s">
        <v>211</v>
      </c>
      <c r="B38" s="7">
        <v>45519</v>
      </c>
      <c r="C38" t="s">
        <v>212</v>
      </c>
      <c r="D38">
        <v>1234.5</v>
      </c>
      <c r="E38">
        <v>0.89</v>
      </c>
      <c r="F38">
        <v>0.1</v>
      </c>
      <c r="G38">
        <v>1.2</v>
      </c>
      <c r="H38">
        <v>7.2</v>
      </c>
      <c r="I38">
        <v>10.75</v>
      </c>
      <c r="J38">
        <v>10.199999999999999</v>
      </c>
      <c r="K38" t="s">
        <v>213</v>
      </c>
      <c r="L38">
        <v>4134</v>
      </c>
      <c r="M38">
        <v>-18.899999999999999</v>
      </c>
      <c r="N38">
        <v>56.7</v>
      </c>
      <c r="O38">
        <v>-12.1</v>
      </c>
      <c r="P38">
        <v>12.8</v>
      </c>
      <c r="Q38">
        <v>0.78</v>
      </c>
      <c r="R38">
        <v>77.849999999999994</v>
      </c>
      <c r="S38">
        <v>2487.5</v>
      </c>
      <c r="T38">
        <v>12.34</v>
      </c>
      <c r="U38" t="s">
        <v>139</v>
      </c>
      <c r="V38">
        <v>5.8</v>
      </c>
      <c r="W38" t="s">
        <v>105</v>
      </c>
      <c r="X38">
        <v>87.3</v>
      </c>
      <c r="Y38">
        <v>8.9</v>
      </c>
      <c r="Z38">
        <v>7.1</v>
      </c>
    </row>
    <row r="39" spans="1:26">
      <c r="A39" t="s">
        <v>214</v>
      </c>
      <c r="B39" s="7">
        <v>45519</v>
      </c>
      <c r="C39" t="s">
        <v>215</v>
      </c>
      <c r="D39">
        <v>23456.7</v>
      </c>
      <c r="E39">
        <v>1.1200000000000001</v>
      </c>
      <c r="F39">
        <v>0.08</v>
      </c>
      <c r="G39">
        <v>2.8</v>
      </c>
      <c r="H39">
        <v>2.8</v>
      </c>
      <c r="I39">
        <v>5.75</v>
      </c>
      <c r="J39">
        <v>6.4</v>
      </c>
      <c r="K39" t="s">
        <v>216</v>
      </c>
      <c r="L39">
        <v>3.78</v>
      </c>
      <c r="M39">
        <v>-6.7</v>
      </c>
      <c r="N39">
        <v>34.200000000000003</v>
      </c>
      <c r="O39">
        <v>8.9</v>
      </c>
      <c r="P39">
        <v>6.7</v>
      </c>
      <c r="Q39">
        <v>0.91</v>
      </c>
      <c r="R39">
        <v>77.849999999999994</v>
      </c>
      <c r="S39">
        <v>2487.5</v>
      </c>
      <c r="T39">
        <v>6.78</v>
      </c>
      <c r="U39" t="s">
        <v>179</v>
      </c>
      <c r="V39">
        <v>6.7</v>
      </c>
      <c r="W39" t="s">
        <v>105</v>
      </c>
      <c r="X39">
        <v>98.7</v>
      </c>
      <c r="Y39">
        <v>9.8000000000000007</v>
      </c>
      <c r="Z39">
        <v>8.1999999999999993</v>
      </c>
    </row>
    <row r="40" spans="1:26">
      <c r="A40" t="s">
        <v>217</v>
      </c>
      <c r="B40" s="7">
        <v>45519</v>
      </c>
      <c r="C40" t="s">
        <v>218</v>
      </c>
      <c r="D40">
        <v>9876.5</v>
      </c>
      <c r="E40">
        <v>0.34</v>
      </c>
      <c r="F40">
        <v>0.7</v>
      </c>
      <c r="G40">
        <v>3.9</v>
      </c>
      <c r="H40">
        <v>1.9</v>
      </c>
      <c r="I40">
        <v>5.4</v>
      </c>
      <c r="J40">
        <v>2.8</v>
      </c>
      <c r="K40" t="s">
        <v>219</v>
      </c>
      <c r="L40">
        <v>3.67</v>
      </c>
      <c r="M40">
        <v>0</v>
      </c>
      <c r="N40">
        <v>34.5</v>
      </c>
      <c r="O40">
        <v>67.8</v>
      </c>
      <c r="P40">
        <v>23.4</v>
      </c>
      <c r="Q40">
        <v>1.06</v>
      </c>
      <c r="R40">
        <v>77.849999999999994</v>
      </c>
      <c r="S40">
        <v>2487.5</v>
      </c>
      <c r="T40">
        <v>4.12</v>
      </c>
      <c r="U40" t="s">
        <v>115</v>
      </c>
      <c r="V40">
        <v>8.1999999999999993</v>
      </c>
      <c r="W40" t="s">
        <v>100</v>
      </c>
      <c r="X40">
        <v>134.5</v>
      </c>
      <c r="Y40">
        <v>23.4</v>
      </c>
      <c r="Z40">
        <v>18.899999999999999</v>
      </c>
    </row>
    <row r="41" spans="1:26">
      <c r="A41" t="s">
        <v>220</v>
      </c>
      <c r="B41" s="7">
        <v>45519</v>
      </c>
      <c r="C41" t="s">
        <v>221</v>
      </c>
      <c r="D41">
        <v>12345.6</v>
      </c>
      <c r="E41">
        <v>0.56000000000000005</v>
      </c>
      <c r="F41">
        <v>2.8</v>
      </c>
      <c r="G41">
        <v>1.1000000000000001</v>
      </c>
      <c r="H41">
        <v>-0.4</v>
      </c>
      <c r="I41">
        <v>6</v>
      </c>
      <c r="J41">
        <v>5.8</v>
      </c>
      <c r="K41" t="s">
        <v>222</v>
      </c>
      <c r="L41">
        <v>3.75</v>
      </c>
      <c r="M41">
        <v>0</v>
      </c>
      <c r="N41">
        <v>26.7</v>
      </c>
      <c r="O41">
        <v>34.5</v>
      </c>
      <c r="P41">
        <v>8.9</v>
      </c>
      <c r="Q41">
        <v>1.18</v>
      </c>
      <c r="R41">
        <v>77.849999999999994</v>
      </c>
      <c r="S41">
        <v>2487.5</v>
      </c>
      <c r="T41">
        <v>4.2300000000000004</v>
      </c>
      <c r="U41" t="s">
        <v>183</v>
      </c>
      <c r="V41">
        <v>6.9</v>
      </c>
      <c r="W41" t="s">
        <v>105</v>
      </c>
      <c r="X41">
        <v>98.7</v>
      </c>
      <c r="Y41">
        <v>12.3</v>
      </c>
      <c r="Z41">
        <v>8.9</v>
      </c>
    </row>
    <row r="42" spans="1:26">
      <c r="A42" t="s">
        <v>223</v>
      </c>
      <c r="B42" s="7">
        <v>45519</v>
      </c>
      <c r="C42" t="s">
        <v>224</v>
      </c>
      <c r="D42">
        <v>1987.3</v>
      </c>
      <c r="E42">
        <v>-0.78</v>
      </c>
      <c r="F42">
        <v>0.4</v>
      </c>
      <c r="G42">
        <v>2</v>
      </c>
      <c r="H42">
        <v>2.2999999999999998</v>
      </c>
      <c r="I42">
        <v>4.75</v>
      </c>
      <c r="J42">
        <v>3.4</v>
      </c>
      <c r="K42" t="s">
        <v>225</v>
      </c>
      <c r="L42">
        <v>3.68</v>
      </c>
      <c r="M42">
        <v>-2.1</v>
      </c>
      <c r="N42">
        <v>60.9</v>
      </c>
      <c r="O42">
        <v>23.4</v>
      </c>
      <c r="P42">
        <v>18.899999999999999</v>
      </c>
      <c r="Q42">
        <v>1.03</v>
      </c>
      <c r="R42">
        <v>77.849999999999994</v>
      </c>
      <c r="S42">
        <v>2487.5</v>
      </c>
      <c r="T42">
        <v>4.5599999999999996</v>
      </c>
      <c r="U42" t="s">
        <v>104</v>
      </c>
      <c r="V42">
        <v>6.8</v>
      </c>
      <c r="W42" t="s">
        <v>105</v>
      </c>
      <c r="X42">
        <v>89.7</v>
      </c>
      <c r="Y42">
        <v>5.6</v>
      </c>
      <c r="Z42">
        <v>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5DE5-25B0-4C4A-8A37-D2427ACAF436}">
  <dimension ref="A3:J44"/>
  <sheetViews>
    <sheetView topLeftCell="A14" zoomScale="51" workbookViewId="0">
      <selection activeCell="G4" sqref="G4"/>
    </sheetView>
  </sheetViews>
  <sheetFormatPr defaultRowHeight="14.4"/>
  <cols>
    <col min="1" max="1" width="14" bestFit="1" customWidth="1"/>
    <col min="2" max="2" width="28.33203125" bestFit="1" customWidth="1"/>
    <col min="3" max="3" width="28" bestFit="1" customWidth="1"/>
    <col min="6" max="6" width="12.5546875" bestFit="1" customWidth="1"/>
    <col min="7" max="7" width="40.77734375" bestFit="1" customWidth="1"/>
    <col min="8" max="8" width="12.5546875" bestFit="1" customWidth="1"/>
    <col min="9" max="9" width="25.6640625" bestFit="1" customWidth="1"/>
    <col min="10" max="10" width="27.88671875" bestFit="1" customWidth="1"/>
  </cols>
  <sheetData>
    <row r="3" spans="1:10">
      <c r="A3" s="12" t="s">
        <v>251</v>
      </c>
      <c r="B3" t="s">
        <v>269</v>
      </c>
      <c r="C3" t="s">
        <v>270</v>
      </c>
      <c r="F3" s="12" t="s">
        <v>251</v>
      </c>
      <c r="G3" t="s">
        <v>271</v>
      </c>
      <c r="H3" s="12" t="s">
        <v>251</v>
      </c>
      <c r="I3" t="s">
        <v>272</v>
      </c>
      <c r="J3" t="s">
        <v>273</v>
      </c>
    </row>
    <row r="4" spans="1:10">
      <c r="A4" s="13" t="s">
        <v>207</v>
      </c>
      <c r="B4" s="14">
        <v>15.6</v>
      </c>
      <c r="C4" s="14">
        <v>-12.3</v>
      </c>
      <c r="F4" s="26">
        <v>45519</v>
      </c>
      <c r="G4" s="14">
        <v>642.89999999999964</v>
      </c>
      <c r="H4" s="26">
        <v>45519</v>
      </c>
      <c r="I4" s="14">
        <v>3036.1499999999978</v>
      </c>
      <c r="J4" s="14">
        <v>97012.5</v>
      </c>
    </row>
    <row r="5" spans="1:10">
      <c r="A5" s="13" t="s">
        <v>130</v>
      </c>
      <c r="B5" s="14">
        <v>5.4</v>
      </c>
      <c r="C5" s="14">
        <v>6.2</v>
      </c>
      <c r="F5" s="13" t="s">
        <v>259</v>
      </c>
      <c r="G5" s="14"/>
      <c r="H5" s="13" t="s">
        <v>259</v>
      </c>
      <c r="I5" s="14"/>
      <c r="J5" s="14"/>
    </row>
    <row r="6" spans="1:10">
      <c r="A6" s="13" t="s">
        <v>125</v>
      </c>
      <c r="B6" s="14">
        <v>6.9</v>
      </c>
      <c r="C6" s="14">
        <v>8.6999999999999993</v>
      </c>
      <c r="F6" s="13" t="s">
        <v>253</v>
      </c>
      <c r="G6" s="14">
        <v>642.89999999999964</v>
      </c>
      <c r="H6" s="13" t="s">
        <v>253</v>
      </c>
      <c r="I6" s="14">
        <v>3036.1499999999978</v>
      </c>
      <c r="J6" s="14">
        <v>97012.5</v>
      </c>
    </row>
    <row r="7" spans="1:10">
      <c r="A7" s="13" t="s">
        <v>122</v>
      </c>
      <c r="B7" s="14">
        <v>3.8</v>
      </c>
      <c r="C7" s="14">
        <v>4.0999999999999996</v>
      </c>
    </row>
    <row r="8" spans="1:10">
      <c r="A8" s="13" t="s">
        <v>204</v>
      </c>
      <c r="B8" s="14">
        <v>5.2</v>
      </c>
      <c r="C8" s="14">
        <v>6.7</v>
      </c>
    </row>
    <row r="9" spans="1:10">
      <c r="A9" s="13" t="s">
        <v>101</v>
      </c>
      <c r="B9" s="14">
        <v>6.1</v>
      </c>
      <c r="C9" s="14">
        <v>8.9</v>
      </c>
    </row>
    <row r="10" spans="1:10">
      <c r="A10" s="13" t="s">
        <v>211</v>
      </c>
      <c r="B10" s="14">
        <v>7.1</v>
      </c>
      <c r="C10" s="14">
        <v>8.9</v>
      </c>
    </row>
    <row r="11" spans="1:10">
      <c r="A11" s="13" t="s">
        <v>160</v>
      </c>
      <c r="B11" s="14">
        <v>1.8</v>
      </c>
      <c r="C11" s="14">
        <v>2.1</v>
      </c>
    </row>
    <row r="12" spans="1:10">
      <c r="A12" s="13" t="s">
        <v>197</v>
      </c>
      <c r="B12" s="14">
        <v>23.4</v>
      </c>
      <c r="C12" s="14">
        <v>12.3</v>
      </c>
    </row>
    <row r="13" spans="1:10">
      <c r="A13" s="13" t="s">
        <v>116</v>
      </c>
      <c r="B13" s="14">
        <v>2.1</v>
      </c>
      <c r="C13" s="14">
        <v>1.8</v>
      </c>
    </row>
    <row r="14" spans="1:10">
      <c r="A14" s="13" t="s">
        <v>109</v>
      </c>
      <c r="B14" s="14">
        <v>1.8</v>
      </c>
      <c r="C14" s="14">
        <v>2.1</v>
      </c>
    </row>
    <row r="15" spans="1:10">
      <c r="A15" s="13" t="s">
        <v>166</v>
      </c>
      <c r="B15" s="14">
        <v>5.9</v>
      </c>
      <c r="C15" s="14">
        <v>6.7</v>
      </c>
    </row>
    <row r="16" spans="1:10">
      <c r="A16" s="13" t="s">
        <v>118</v>
      </c>
      <c r="B16" s="14">
        <v>10.9</v>
      </c>
      <c r="C16" s="14">
        <v>13.2</v>
      </c>
    </row>
    <row r="17" spans="1:3">
      <c r="A17" s="13" t="s">
        <v>173</v>
      </c>
      <c r="B17" s="14">
        <v>7.3</v>
      </c>
      <c r="C17" s="14">
        <v>8.9</v>
      </c>
    </row>
    <row r="18" spans="1:3">
      <c r="A18" s="13" t="s">
        <v>223</v>
      </c>
      <c r="B18" s="14">
        <v>4.2</v>
      </c>
      <c r="C18" s="14">
        <v>5.6</v>
      </c>
    </row>
    <row r="19" spans="1:3">
      <c r="A19" s="13" t="s">
        <v>144</v>
      </c>
      <c r="B19" s="14">
        <v>2.9</v>
      </c>
      <c r="C19" s="14">
        <v>3.2</v>
      </c>
    </row>
    <row r="20" spans="1:3">
      <c r="A20" s="13" t="s">
        <v>106</v>
      </c>
      <c r="B20" s="14">
        <v>4.7</v>
      </c>
      <c r="C20" s="14">
        <v>5.0999999999999996</v>
      </c>
    </row>
    <row r="21" spans="1:3">
      <c r="A21" s="13" t="s">
        <v>180</v>
      </c>
      <c r="B21" s="14">
        <v>5.9</v>
      </c>
      <c r="C21" s="14">
        <v>6.7</v>
      </c>
    </row>
    <row r="22" spans="1:3">
      <c r="A22" s="13" t="s">
        <v>140</v>
      </c>
      <c r="B22" s="14">
        <v>8.1999999999999993</v>
      </c>
      <c r="C22" s="14">
        <v>7.9</v>
      </c>
    </row>
    <row r="23" spans="1:3">
      <c r="A23" s="13" t="s">
        <v>149</v>
      </c>
      <c r="B23" s="14">
        <v>2.4</v>
      </c>
      <c r="C23" s="14">
        <v>2.8</v>
      </c>
    </row>
    <row r="24" spans="1:3">
      <c r="A24" s="13" t="s">
        <v>200</v>
      </c>
      <c r="B24" s="14">
        <v>34.5</v>
      </c>
      <c r="C24" s="14">
        <v>23.4</v>
      </c>
    </row>
    <row r="25" spans="1:3">
      <c r="A25" s="13" t="s">
        <v>157</v>
      </c>
      <c r="B25" s="14">
        <v>6.7</v>
      </c>
      <c r="C25" s="14">
        <v>8.9</v>
      </c>
    </row>
    <row r="26" spans="1:3">
      <c r="A26" s="13" t="s">
        <v>214</v>
      </c>
      <c r="B26" s="14">
        <v>8.1999999999999993</v>
      </c>
      <c r="C26" s="14">
        <v>9.8000000000000007</v>
      </c>
    </row>
    <row r="27" spans="1:3">
      <c r="A27" s="13" t="s">
        <v>184</v>
      </c>
      <c r="B27" s="14">
        <v>7.4</v>
      </c>
      <c r="C27" s="14">
        <v>8.1</v>
      </c>
    </row>
    <row r="28" spans="1:3">
      <c r="A28" s="13" t="s">
        <v>136</v>
      </c>
      <c r="B28" s="14">
        <v>18.7</v>
      </c>
      <c r="C28" s="14">
        <v>15.2</v>
      </c>
    </row>
    <row r="29" spans="1:3">
      <c r="A29" s="13" t="s">
        <v>220</v>
      </c>
      <c r="B29" s="14">
        <v>8.9</v>
      </c>
      <c r="C29" s="14">
        <v>12.3</v>
      </c>
    </row>
    <row r="30" spans="1:3">
      <c r="A30" s="13" t="s">
        <v>163</v>
      </c>
      <c r="B30" s="14">
        <v>11.7</v>
      </c>
      <c r="C30" s="14">
        <v>12.4</v>
      </c>
    </row>
    <row r="31" spans="1:3">
      <c r="A31" s="13" t="s">
        <v>194</v>
      </c>
      <c r="B31" s="14">
        <v>1.8</v>
      </c>
      <c r="C31" s="14">
        <v>2.1</v>
      </c>
    </row>
    <row r="32" spans="1:3">
      <c r="A32" s="13" t="s">
        <v>133</v>
      </c>
      <c r="B32" s="14">
        <v>7.8</v>
      </c>
      <c r="C32" s="14">
        <v>9.1</v>
      </c>
    </row>
    <row r="33" spans="1:3">
      <c r="A33" s="13" t="s">
        <v>146</v>
      </c>
      <c r="B33" s="14">
        <v>3.7</v>
      </c>
      <c r="C33" s="14">
        <v>4.0999999999999996</v>
      </c>
    </row>
    <row r="34" spans="1:3">
      <c r="A34" s="13" t="s">
        <v>154</v>
      </c>
      <c r="B34" s="14">
        <v>2.9</v>
      </c>
      <c r="C34" s="14">
        <v>3.4</v>
      </c>
    </row>
    <row r="35" spans="1:3">
      <c r="A35" s="13" t="s">
        <v>151</v>
      </c>
      <c r="B35" s="14">
        <v>2.1</v>
      </c>
      <c r="C35" s="14">
        <v>1.9</v>
      </c>
    </row>
    <row r="36" spans="1:3">
      <c r="A36" s="13" t="s">
        <v>170</v>
      </c>
      <c r="B36" s="14">
        <v>13.8</v>
      </c>
      <c r="C36" s="14">
        <v>15.2</v>
      </c>
    </row>
    <row r="37" spans="1:3">
      <c r="A37" s="13" t="s">
        <v>176</v>
      </c>
      <c r="B37" s="14">
        <v>3.8</v>
      </c>
      <c r="C37" s="14">
        <v>4.0999999999999996</v>
      </c>
    </row>
    <row r="38" spans="1:3">
      <c r="A38" s="13" t="s">
        <v>190</v>
      </c>
      <c r="B38" s="14">
        <v>8.9</v>
      </c>
      <c r="C38" s="14">
        <v>3.4</v>
      </c>
    </row>
    <row r="39" spans="1:3">
      <c r="A39" s="13" t="s">
        <v>217</v>
      </c>
      <c r="B39" s="14">
        <v>18.899999999999999</v>
      </c>
      <c r="C39" s="14">
        <v>23.4</v>
      </c>
    </row>
    <row r="40" spans="1:3">
      <c r="A40" s="13" t="s">
        <v>112</v>
      </c>
      <c r="B40" s="14">
        <v>1.2</v>
      </c>
      <c r="C40" s="14">
        <v>0.9</v>
      </c>
    </row>
    <row r="41" spans="1:3">
      <c r="A41" s="13" t="s">
        <v>96</v>
      </c>
      <c r="B41" s="14">
        <v>2.8</v>
      </c>
      <c r="C41" s="14">
        <v>3.2</v>
      </c>
    </row>
    <row r="42" spans="1:3">
      <c r="A42" s="13" t="s">
        <v>187</v>
      </c>
      <c r="B42" s="14">
        <v>14.2</v>
      </c>
      <c r="C42" s="14">
        <v>12.8</v>
      </c>
    </row>
    <row r="43" spans="1:3">
      <c r="A43" s="13" t="s">
        <v>259</v>
      </c>
      <c r="B43" s="14"/>
      <c r="C43" s="14"/>
    </row>
    <row r="44" spans="1:3">
      <c r="A44" s="13" t="s">
        <v>253</v>
      </c>
      <c r="B44" s="14">
        <v>309.59999999999997</v>
      </c>
      <c r="C44" s="14">
        <v>283.29999999999995</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22BB-93FD-4F3E-A8C5-D8E83568E1FB}">
  <dimension ref="A3:J47"/>
  <sheetViews>
    <sheetView tabSelected="1" topLeftCell="C1" workbookViewId="0">
      <selection activeCell="I6" sqref="I6:J47"/>
    </sheetView>
  </sheetViews>
  <sheetFormatPr defaultRowHeight="14.4"/>
  <cols>
    <col min="1" max="1" width="12.5546875" bestFit="1" customWidth="1"/>
    <col min="2" max="2" width="15.6640625" bestFit="1" customWidth="1"/>
    <col min="5" max="5" width="14" bestFit="1" customWidth="1"/>
    <col min="6" max="6" width="24.33203125" bestFit="1" customWidth="1"/>
    <col min="9" max="9" width="14" bestFit="1" customWidth="1"/>
    <col min="10" max="10" width="28.77734375" bestFit="1" customWidth="1"/>
    <col min="11" max="11" width="8.33203125" bestFit="1" customWidth="1"/>
    <col min="12" max="12" width="5.44140625" bestFit="1" customWidth="1"/>
    <col min="13" max="13" width="7.33203125" bestFit="1" customWidth="1"/>
    <col min="14" max="14" width="5.109375" bestFit="1" customWidth="1"/>
    <col min="15" max="15" width="5.77734375" bestFit="1" customWidth="1"/>
    <col min="16" max="16" width="9" bestFit="1" customWidth="1"/>
    <col min="17" max="17" width="8.6640625" bestFit="1" customWidth="1"/>
    <col min="18" max="18" width="5.77734375" bestFit="1" customWidth="1"/>
    <col min="19" max="19" width="6.5546875" bestFit="1" customWidth="1"/>
    <col min="20" max="20" width="8.6640625" bestFit="1" customWidth="1"/>
    <col min="21" max="21" width="10.21875" bestFit="1" customWidth="1"/>
    <col min="22" max="22" width="5.21875" bestFit="1" customWidth="1"/>
    <col min="23" max="23" width="9.21875" bestFit="1" customWidth="1"/>
    <col min="24" max="24" width="5.44140625" bestFit="1" customWidth="1"/>
    <col min="25" max="25" width="4.6640625" bestFit="1" customWidth="1"/>
    <col min="26" max="26" width="5.88671875" bestFit="1" customWidth="1"/>
    <col min="27" max="27" width="8.44140625" bestFit="1" customWidth="1"/>
    <col min="28" max="28" width="7.109375" bestFit="1" customWidth="1"/>
    <col min="29" max="29" width="11.21875" bestFit="1" customWidth="1"/>
    <col min="30" max="30" width="6.88671875" bestFit="1" customWidth="1"/>
    <col min="31" max="31" width="7.5546875" bestFit="1" customWidth="1"/>
    <col min="32" max="32" width="4.88671875" bestFit="1" customWidth="1"/>
    <col min="33" max="33" width="10.109375" bestFit="1" customWidth="1"/>
    <col min="34" max="34" width="6.21875" bestFit="1" customWidth="1"/>
    <col min="35" max="35" width="11.5546875" bestFit="1" customWidth="1"/>
    <col min="36" max="36" width="9.44140625" bestFit="1" customWidth="1"/>
    <col min="37" max="38" width="11.33203125" bestFit="1" customWidth="1"/>
    <col min="39" max="39" width="5.6640625" bestFit="1" customWidth="1"/>
    <col min="40" max="40" width="7.6640625" bestFit="1" customWidth="1"/>
    <col min="41" max="41" width="10.6640625" bestFit="1" customWidth="1"/>
    <col min="42" max="42" width="7" bestFit="1" customWidth="1"/>
    <col min="43" max="43" width="8.21875" bestFit="1" customWidth="1"/>
    <col min="44" max="44" width="6.77734375" bestFit="1" customWidth="1"/>
    <col min="45" max="45" width="4.5546875" bestFit="1" customWidth="1"/>
    <col min="46" max="46" width="14.77734375" bestFit="1" customWidth="1"/>
    <col min="47" max="47" width="12.21875" bestFit="1" customWidth="1"/>
    <col min="48" max="48" width="8.109375" bestFit="1" customWidth="1"/>
    <col min="49" max="49" width="7" bestFit="1" customWidth="1"/>
    <col min="50" max="50" width="10.77734375" bestFit="1" customWidth="1"/>
  </cols>
  <sheetData>
    <row r="3" spans="1:10">
      <c r="A3" s="12" t="s">
        <v>251</v>
      </c>
      <c r="B3" t="s">
        <v>275</v>
      </c>
      <c r="E3" s="12" t="s">
        <v>251</v>
      </c>
      <c r="F3" t="s">
        <v>276</v>
      </c>
    </row>
    <row r="4" spans="1:10">
      <c r="A4" s="13" t="s">
        <v>148</v>
      </c>
      <c r="B4" s="14">
        <v>2</v>
      </c>
      <c r="E4" s="13" t="s">
        <v>207</v>
      </c>
      <c r="F4" s="14">
        <v>2.1</v>
      </c>
    </row>
    <row r="5" spans="1:10">
      <c r="A5" s="13" t="s">
        <v>183</v>
      </c>
      <c r="B5" s="14">
        <v>2</v>
      </c>
      <c r="E5" s="13" t="s">
        <v>130</v>
      </c>
      <c r="F5" s="14">
        <v>8.6</v>
      </c>
    </row>
    <row r="6" spans="1:10">
      <c r="A6" s="13" t="s">
        <v>104</v>
      </c>
      <c r="B6" s="14">
        <v>3</v>
      </c>
      <c r="E6" s="13" t="s">
        <v>125</v>
      </c>
      <c r="F6" s="14">
        <v>5.4</v>
      </c>
      <c r="I6" s="12" t="s">
        <v>251</v>
      </c>
      <c r="J6" t="s">
        <v>277</v>
      </c>
    </row>
    <row r="7" spans="1:10">
      <c r="A7" s="13" t="s">
        <v>115</v>
      </c>
      <c r="B7" s="14">
        <v>5</v>
      </c>
      <c r="E7" s="13" t="s">
        <v>122</v>
      </c>
      <c r="F7" s="14">
        <v>8.9</v>
      </c>
      <c r="I7" s="13" t="s">
        <v>207</v>
      </c>
      <c r="J7" s="14">
        <v>1</v>
      </c>
    </row>
    <row r="8" spans="1:10">
      <c r="A8" s="13" t="s">
        <v>169</v>
      </c>
      <c r="B8" s="14">
        <v>1</v>
      </c>
      <c r="E8" s="13" t="s">
        <v>204</v>
      </c>
      <c r="F8" s="14">
        <v>7.8</v>
      </c>
      <c r="I8" s="13" t="s">
        <v>130</v>
      </c>
      <c r="J8" s="14">
        <v>1</v>
      </c>
    </row>
    <row r="9" spans="1:10">
      <c r="A9" s="13" t="s">
        <v>99</v>
      </c>
      <c r="B9" s="14">
        <v>10</v>
      </c>
      <c r="E9" s="13" t="s">
        <v>101</v>
      </c>
      <c r="F9" s="14">
        <v>6.7</v>
      </c>
      <c r="I9" s="13" t="s">
        <v>125</v>
      </c>
      <c r="J9" s="14">
        <v>1</v>
      </c>
    </row>
    <row r="10" spans="1:10">
      <c r="A10" s="13" t="s">
        <v>203</v>
      </c>
      <c r="B10" s="14">
        <v>1</v>
      </c>
      <c r="E10" s="13" t="s">
        <v>211</v>
      </c>
      <c r="F10" s="14">
        <v>5.8</v>
      </c>
      <c r="I10" s="13" t="s">
        <v>122</v>
      </c>
      <c r="J10" s="14">
        <v>1</v>
      </c>
    </row>
    <row r="11" spans="1:10">
      <c r="A11" s="13" t="s">
        <v>193</v>
      </c>
      <c r="B11" s="14">
        <v>2</v>
      </c>
      <c r="E11" s="13" t="s">
        <v>160</v>
      </c>
      <c r="F11" s="14">
        <v>8.9</v>
      </c>
      <c r="I11" s="13" t="s">
        <v>204</v>
      </c>
      <c r="J11" s="14">
        <v>1</v>
      </c>
    </row>
    <row r="12" spans="1:10">
      <c r="A12" s="13" t="s">
        <v>128</v>
      </c>
      <c r="B12" s="14">
        <v>2</v>
      </c>
      <c r="E12" s="13" t="s">
        <v>197</v>
      </c>
      <c r="F12" s="14">
        <v>4.2</v>
      </c>
      <c r="I12" s="13" t="s">
        <v>101</v>
      </c>
      <c r="J12" s="14">
        <v>1</v>
      </c>
    </row>
    <row r="13" spans="1:10">
      <c r="A13" s="13" t="s">
        <v>139</v>
      </c>
      <c r="B13" s="14">
        <v>3</v>
      </c>
      <c r="E13" s="13" t="s">
        <v>116</v>
      </c>
      <c r="F13" s="14">
        <v>7.3</v>
      </c>
      <c r="I13" s="13" t="s">
        <v>211</v>
      </c>
      <c r="J13" s="14">
        <v>1</v>
      </c>
    </row>
    <row r="14" spans="1:10">
      <c r="A14" s="13" t="s">
        <v>143</v>
      </c>
      <c r="B14" s="14">
        <v>3</v>
      </c>
      <c r="E14" s="13" t="s">
        <v>109</v>
      </c>
      <c r="F14" s="14">
        <v>8.6999999999999993</v>
      </c>
      <c r="I14" s="13" t="s">
        <v>160</v>
      </c>
      <c r="J14" s="14">
        <v>1</v>
      </c>
    </row>
    <row r="15" spans="1:10">
      <c r="A15" s="13" t="s">
        <v>121</v>
      </c>
      <c r="B15" s="14">
        <v>1</v>
      </c>
      <c r="E15" s="13" t="s">
        <v>166</v>
      </c>
      <c r="F15" s="14">
        <v>7.2</v>
      </c>
      <c r="I15" s="13" t="s">
        <v>197</v>
      </c>
      <c r="J15" s="14">
        <v>1</v>
      </c>
    </row>
    <row r="16" spans="1:10">
      <c r="A16" s="13" t="s">
        <v>179</v>
      </c>
      <c r="B16" s="14">
        <v>3</v>
      </c>
      <c r="E16" s="13" t="s">
        <v>118</v>
      </c>
      <c r="F16" s="14">
        <v>6.8</v>
      </c>
      <c r="I16" s="13" t="s">
        <v>116</v>
      </c>
      <c r="J16" s="14">
        <v>1</v>
      </c>
    </row>
    <row r="17" spans="1:10">
      <c r="A17" s="13" t="s">
        <v>210</v>
      </c>
      <c r="B17" s="14">
        <v>1</v>
      </c>
      <c r="E17" s="13" t="s">
        <v>173</v>
      </c>
      <c r="F17" s="14">
        <v>6.5</v>
      </c>
      <c r="I17" s="13" t="s">
        <v>109</v>
      </c>
      <c r="J17" s="14">
        <v>1</v>
      </c>
    </row>
    <row r="18" spans="1:10">
      <c r="A18" s="13" t="s">
        <v>259</v>
      </c>
      <c r="B18" s="14"/>
      <c r="E18" s="13" t="s">
        <v>223</v>
      </c>
      <c r="F18" s="14">
        <v>6.8</v>
      </c>
      <c r="I18" s="13" t="s">
        <v>166</v>
      </c>
      <c r="J18" s="14">
        <v>1</v>
      </c>
    </row>
    <row r="19" spans="1:10">
      <c r="A19" s="13" t="s">
        <v>253</v>
      </c>
      <c r="B19" s="14">
        <v>39</v>
      </c>
      <c r="E19" s="13" t="s">
        <v>144</v>
      </c>
      <c r="F19" s="14">
        <v>7.1</v>
      </c>
      <c r="I19" s="13" t="s">
        <v>118</v>
      </c>
      <c r="J19" s="14">
        <v>1</v>
      </c>
    </row>
    <row r="20" spans="1:10">
      <c r="E20" s="13" t="s">
        <v>106</v>
      </c>
      <c r="F20" s="14">
        <v>8.4</v>
      </c>
      <c r="I20" s="13" t="s">
        <v>173</v>
      </c>
      <c r="J20" s="14">
        <v>1</v>
      </c>
    </row>
    <row r="21" spans="1:10">
      <c r="E21" s="13" t="s">
        <v>180</v>
      </c>
      <c r="F21" s="14">
        <v>7.3</v>
      </c>
      <c r="I21" s="13" t="s">
        <v>223</v>
      </c>
      <c r="J21" s="14">
        <v>1</v>
      </c>
    </row>
    <row r="22" spans="1:10">
      <c r="E22" s="13" t="s">
        <v>140</v>
      </c>
      <c r="F22" s="14">
        <v>6.1</v>
      </c>
      <c r="I22" s="13" t="s">
        <v>144</v>
      </c>
      <c r="J22" s="14">
        <v>1</v>
      </c>
    </row>
    <row r="23" spans="1:10">
      <c r="E23" s="13" t="s">
        <v>149</v>
      </c>
      <c r="F23" s="14">
        <v>8.8000000000000007</v>
      </c>
      <c r="I23" s="13" t="s">
        <v>106</v>
      </c>
      <c r="J23" s="14">
        <v>1</v>
      </c>
    </row>
    <row r="24" spans="1:10">
      <c r="E24" s="13" t="s">
        <v>200</v>
      </c>
      <c r="F24" s="14">
        <v>3.8</v>
      </c>
      <c r="I24" s="13" t="s">
        <v>180</v>
      </c>
      <c r="J24" s="14">
        <v>1</v>
      </c>
    </row>
    <row r="25" spans="1:10">
      <c r="E25" s="13" t="s">
        <v>157</v>
      </c>
      <c r="F25" s="14">
        <v>9</v>
      </c>
      <c r="I25" s="13" t="s">
        <v>140</v>
      </c>
      <c r="J25" s="14">
        <v>1</v>
      </c>
    </row>
    <row r="26" spans="1:10">
      <c r="E26" s="13" t="s">
        <v>214</v>
      </c>
      <c r="F26" s="14">
        <v>6.7</v>
      </c>
      <c r="I26" s="13" t="s">
        <v>149</v>
      </c>
      <c r="J26" s="14">
        <v>1</v>
      </c>
    </row>
    <row r="27" spans="1:10">
      <c r="E27" s="13" t="s">
        <v>184</v>
      </c>
      <c r="F27" s="14">
        <v>6.8</v>
      </c>
      <c r="I27" s="13" t="s">
        <v>200</v>
      </c>
      <c r="J27" s="14">
        <v>1</v>
      </c>
    </row>
    <row r="28" spans="1:10">
      <c r="E28" s="13" t="s">
        <v>136</v>
      </c>
      <c r="F28" s="14">
        <v>3.2</v>
      </c>
      <c r="I28" s="13" t="s">
        <v>157</v>
      </c>
      <c r="J28" s="14">
        <v>1</v>
      </c>
    </row>
    <row r="29" spans="1:10">
      <c r="E29" s="13" t="s">
        <v>220</v>
      </c>
      <c r="F29" s="14">
        <v>6.9</v>
      </c>
      <c r="I29" s="13" t="s">
        <v>214</v>
      </c>
      <c r="J29" s="14">
        <v>1</v>
      </c>
    </row>
    <row r="30" spans="1:10">
      <c r="E30" s="13" t="s">
        <v>163</v>
      </c>
      <c r="F30" s="14">
        <v>8.6999999999999993</v>
      </c>
      <c r="I30" s="13" t="s">
        <v>184</v>
      </c>
      <c r="J30" s="14">
        <v>1</v>
      </c>
    </row>
    <row r="31" spans="1:10">
      <c r="E31" s="13" t="s">
        <v>194</v>
      </c>
      <c r="F31" s="14">
        <v>5.9</v>
      </c>
      <c r="I31" s="13" t="s">
        <v>136</v>
      </c>
      <c r="J31" s="14">
        <v>1</v>
      </c>
    </row>
    <row r="32" spans="1:10">
      <c r="E32" s="13" t="s">
        <v>133</v>
      </c>
      <c r="F32" s="14">
        <v>7.8</v>
      </c>
      <c r="I32" s="13" t="s">
        <v>220</v>
      </c>
      <c r="J32" s="14">
        <v>1</v>
      </c>
    </row>
    <row r="33" spans="5:10">
      <c r="E33" s="13" t="s">
        <v>146</v>
      </c>
      <c r="F33" s="14">
        <v>7.8</v>
      </c>
      <c r="I33" s="13" t="s">
        <v>163</v>
      </c>
      <c r="J33" s="14">
        <v>1</v>
      </c>
    </row>
    <row r="34" spans="5:10">
      <c r="E34" s="13" t="s">
        <v>154</v>
      </c>
      <c r="F34" s="14">
        <v>8.9</v>
      </c>
      <c r="I34" s="13" t="s">
        <v>194</v>
      </c>
      <c r="J34" s="14">
        <v>1</v>
      </c>
    </row>
    <row r="35" spans="5:10">
      <c r="E35" s="13" t="s">
        <v>151</v>
      </c>
      <c r="F35" s="14">
        <v>9.1</v>
      </c>
      <c r="I35" s="13" t="s">
        <v>133</v>
      </c>
      <c r="J35" s="14">
        <v>1</v>
      </c>
    </row>
    <row r="36" spans="5:10">
      <c r="E36" s="13" t="s">
        <v>170</v>
      </c>
      <c r="F36" s="14">
        <v>8.1</v>
      </c>
      <c r="I36" s="13" t="s">
        <v>146</v>
      </c>
      <c r="J36" s="14">
        <v>1</v>
      </c>
    </row>
    <row r="37" spans="5:10">
      <c r="E37" s="13" t="s">
        <v>176</v>
      </c>
      <c r="F37" s="14">
        <v>7.1</v>
      </c>
      <c r="I37" s="13" t="s">
        <v>154</v>
      </c>
      <c r="J37" s="14">
        <v>1</v>
      </c>
    </row>
    <row r="38" spans="5:10">
      <c r="E38" s="13" t="s">
        <v>190</v>
      </c>
      <c r="F38" s="14">
        <v>4.8</v>
      </c>
      <c r="I38" s="13" t="s">
        <v>151</v>
      </c>
      <c r="J38" s="14">
        <v>1</v>
      </c>
    </row>
    <row r="39" spans="5:10">
      <c r="E39" s="13" t="s">
        <v>217</v>
      </c>
      <c r="F39" s="14">
        <v>8.1999999999999993</v>
      </c>
      <c r="I39" s="13" t="s">
        <v>170</v>
      </c>
      <c r="J39" s="14">
        <v>1</v>
      </c>
    </row>
    <row r="40" spans="5:10">
      <c r="E40" s="13" t="s">
        <v>112</v>
      </c>
      <c r="F40" s="14">
        <v>7.9</v>
      </c>
      <c r="I40" s="13" t="s">
        <v>176</v>
      </c>
      <c r="J40" s="14">
        <v>1</v>
      </c>
    </row>
    <row r="41" spans="5:10">
      <c r="E41" s="13" t="s">
        <v>96</v>
      </c>
      <c r="F41" s="14">
        <v>8.1</v>
      </c>
      <c r="I41" s="13" t="s">
        <v>190</v>
      </c>
      <c r="J41" s="14">
        <v>1</v>
      </c>
    </row>
    <row r="42" spans="5:10">
      <c r="E42" s="13" t="s">
        <v>187</v>
      </c>
      <c r="F42" s="14">
        <v>6.2</v>
      </c>
      <c r="I42" s="13" t="s">
        <v>217</v>
      </c>
      <c r="J42" s="14">
        <v>1</v>
      </c>
    </row>
    <row r="43" spans="5:10">
      <c r="E43" s="13" t="s">
        <v>259</v>
      </c>
      <c r="F43" s="14"/>
      <c r="I43" s="13" t="s">
        <v>112</v>
      </c>
      <c r="J43" s="14">
        <v>1</v>
      </c>
    </row>
    <row r="44" spans="5:10">
      <c r="E44" s="13" t="s">
        <v>253</v>
      </c>
      <c r="F44" s="14">
        <v>274.40000000000003</v>
      </c>
      <c r="I44" s="13" t="s">
        <v>96</v>
      </c>
      <c r="J44" s="14">
        <v>1</v>
      </c>
    </row>
    <row r="45" spans="5:10">
      <c r="I45" s="13" t="s">
        <v>187</v>
      </c>
      <c r="J45" s="14">
        <v>1</v>
      </c>
    </row>
    <row r="46" spans="5:10">
      <c r="I46" s="13" t="s">
        <v>259</v>
      </c>
      <c r="J46" s="14"/>
    </row>
    <row r="47" spans="5:10">
      <c r="I47" s="13" t="s">
        <v>253</v>
      </c>
      <c r="J47" s="14">
        <v>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C165-4B8C-4781-B5E3-5837E2B6CF2B}">
  <dimension ref="A1:Z40"/>
  <sheetViews>
    <sheetView topLeftCell="A2" workbookViewId="0">
      <selection activeCell="A2" sqref="A1:XFD1048576"/>
    </sheetView>
  </sheetViews>
  <sheetFormatPr defaultRowHeight="14.4"/>
  <cols>
    <col min="1" max="1" width="14" bestFit="1" customWidth="1"/>
    <col min="2" max="2" width="10.33203125" bestFit="1" customWidth="1"/>
    <col min="3" max="3" width="18.21875" bestFit="1" customWidth="1"/>
    <col min="4" max="4" width="13.6640625" bestFit="1" customWidth="1"/>
    <col min="5" max="5" width="22.33203125" bestFit="1" customWidth="1"/>
    <col min="6" max="6" width="25.109375" bestFit="1" customWidth="1"/>
    <col min="7" max="7" width="26.5546875" bestFit="1" customWidth="1"/>
    <col min="8" max="8" width="22.77734375" bestFit="1" customWidth="1"/>
    <col min="9" max="9" width="22.109375" bestFit="1" customWidth="1"/>
    <col min="10" max="10" width="29.109375" bestFit="1" customWidth="1"/>
    <col min="11" max="11" width="16.21875" bestFit="1" customWidth="1"/>
    <col min="12" max="12" width="20.77734375" bestFit="1" customWidth="1"/>
    <col min="13" max="13" width="30.21875" bestFit="1" customWidth="1"/>
    <col min="14" max="14" width="31.21875" bestFit="1" customWidth="1"/>
    <col min="15" max="15" width="36.44140625" bestFit="1" customWidth="1"/>
    <col min="16" max="16" width="23.109375" bestFit="1" customWidth="1"/>
    <col min="17" max="17" width="18.88671875" bestFit="1" customWidth="1"/>
    <col min="18" max="18" width="21.21875" bestFit="1" customWidth="1"/>
    <col min="19" max="19" width="23.5546875" bestFit="1" customWidth="1"/>
    <col min="20" max="20" width="24.44140625" bestFit="1" customWidth="1"/>
    <col min="21" max="21" width="14.5546875" bestFit="1" customWidth="1"/>
    <col min="22" max="22" width="20" bestFit="1" customWidth="1"/>
    <col min="23" max="23" width="23" bestFit="1" customWidth="1"/>
    <col min="24" max="24" width="18.6640625" bestFit="1" customWidth="1"/>
    <col min="25" max="25" width="23.6640625" bestFit="1" customWidth="1"/>
    <col min="26" max="26" width="24" bestFit="1" customWidth="1"/>
  </cols>
  <sheetData>
    <row r="1" spans="1:26">
      <c r="A1" t="s">
        <v>70</v>
      </c>
      <c r="B1" t="s">
        <v>71</v>
      </c>
      <c r="C1" t="s">
        <v>72</v>
      </c>
      <c r="D1" t="s">
        <v>73</v>
      </c>
      <c r="E1" t="s">
        <v>74</v>
      </c>
      <c r="F1" t="s">
        <v>75</v>
      </c>
      <c r="G1" t="s">
        <v>76</v>
      </c>
      <c r="H1" t="s">
        <v>77</v>
      </c>
      <c r="I1" t="s">
        <v>78</v>
      </c>
      <c r="J1" t="s">
        <v>79</v>
      </c>
      <c r="K1" t="s">
        <v>80</v>
      </c>
      <c r="L1" t="s">
        <v>81</v>
      </c>
      <c r="M1" t="s">
        <v>82</v>
      </c>
      <c r="N1" t="s">
        <v>83</v>
      </c>
      <c r="O1" t="s">
        <v>84</v>
      </c>
      <c r="P1" t="s">
        <v>85</v>
      </c>
      <c r="Q1" t="s">
        <v>86</v>
      </c>
      <c r="R1" t="s">
        <v>87</v>
      </c>
      <c r="S1" t="s">
        <v>88</v>
      </c>
      <c r="T1" t="s">
        <v>89</v>
      </c>
      <c r="U1" t="s">
        <v>90</v>
      </c>
      <c r="V1" t="s">
        <v>91</v>
      </c>
      <c r="W1" t="s">
        <v>92</v>
      </c>
      <c r="X1" t="s">
        <v>93</v>
      </c>
      <c r="Y1" t="s">
        <v>94</v>
      </c>
      <c r="Z1" t="s">
        <v>95</v>
      </c>
    </row>
    <row r="2" spans="1:26">
      <c r="A2" s="14" t="s">
        <v>96</v>
      </c>
      <c r="B2" s="7">
        <v>45519</v>
      </c>
      <c r="C2" s="14" t="s">
        <v>97</v>
      </c>
      <c r="D2">
        <v>5437.2</v>
      </c>
      <c r="E2">
        <v>0.34</v>
      </c>
      <c r="F2">
        <v>51.2</v>
      </c>
      <c r="G2">
        <v>2.8</v>
      </c>
      <c r="H2">
        <v>2.9</v>
      </c>
      <c r="I2">
        <v>5.5</v>
      </c>
      <c r="J2">
        <v>3.7</v>
      </c>
      <c r="K2" s="14" t="s">
        <v>98</v>
      </c>
      <c r="L2">
        <v>1</v>
      </c>
      <c r="M2">
        <v>0</v>
      </c>
      <c r="N2">
        <v>126.4</v>
      </c>
      <c r="O2">
        <v>-695.2</v>
      </c>
      <c r="P2">
        <v>456.8</v>
      </c>
      <c r="Q2">
        <v>1.1200000000000001</v>
      </c>
      <c r="R2">
        <v>77.849999999999994</v>
      </c>
      <c r="S2">
        <v>2487.5</v>
      </c>
      <c r="T2">
        <v>4.25</v>
      </c>
      <c r="U2" s="14" t="s">
        <v>99</v>
      </c>
      <c r="V2">
        <v>8.1</v>
      </c>
      <c r="W2" s="14" t="s">
        <v>100</v>
      </c>
      <c r="X2">
        <v>145.6</v>
      </c>
      <c r="Y2">
        <v>3.2</v>
      </c>
      <c r="Z2">
        <v>2.8</v>
      </c>
    </row>
    <row r="3" spans="1:26">
      <c r="A3" s="14" t="s">
        <v>101</v>
      </c>
      <c r="B3" s="7">
        <v>45519</v>
      </c>
      <c r="C3" s="14" t="s">
        <v>102</v>
      </c>
      <c r="D3">
        <v>2891.6</v>
      </c>
      <c r="E3">
        <v>-0.82</v>
      </c>
      <c r="F3">
        <v>12.4</v>
      </c>
      <c r="G3">
        <v>5.2</v>
      </c>
      <c r="H3">
        <v>0.8</v>
      </c>
      <c r="I3">
        <v>3.1</v>
      </c>
      <c r="J3">
        <v>5.2</v>
      </c>
      <c r="K3" s="14" t="s">
        <v>103</v>
      </c>
      <c r="L3">
        <v>7.28</v>
      </c>
      <c r="M3">
        <v>2.2999999999999998</v>
      </c>
      <c r="N3">
        <v>77.099999999999994</v>
      </c>
      <c r="O3">
        <v>382.9</v>
      </c>
      <c r="P3">
        <v>189.7</v>
      </c>
      <c r="Q3">
        <v>0.98</v>
      </c>
      <c r="R3">
        <v>77.849999999999994</v>
      </c>
      <c r="S3">
        <v>2487.5</v>
      </c>
      <c r="T3">
        <v>2.15</v>
      </c>
      <c r="U3" s="14" t="s">
        <v>104</v>
      </c>
      <c r="V3">
        <v>6.7</v>
      </c>
      <c r="W3" s="14" t="s">
        <v>105</v>
      </c>
      <c r="X3">
        <v>98.7</v>
      </c>
      <c r="Y3">
        <v>8.9</v>
      </c>
      <c r="Z3">
        <v>6.1</v>
      </c>
    </row>
    <row r="4" spans="1:26">
      <c r="A4" s="14" t="s">
        <v>106</v>
      </c>
      <c r="B4" s="7">
        <v>45519</v>
      </c>
      <c r="C4" s="14" t="s">
        <v>107</v>
      </c>
      <c r="D4">
        <v>36789.1</v>
      </c>
      <c r="E4">
        <v>1.24</v>
      </c>
      <c r="F4">
        <v>6.8</v>
      </c>
      <c r="G4">
        <v>0.9</v>
      </c>
      <c r="H4">
        <v>2.8</v>
      </c>
      <c r="I4">
        <v>-0.1</v>
      </c>
      <c r="J4">
        <v>2.4</v>
      </c>
      <c r="K4" s="14" t="s">
        <v>108</v>
      </c>
      <c r="L4">
        <v>147.19999999999999</v>
      </c>
      <c r="M4">
        <v>-8.9</v>
      </c>
      <c r="N4">
        <v>263.10000000000002</v>
      </c>
      <c r="O4">
        <v>49.7</v>
      </c>
      <c r="P4">
        <v>23.4</v>
      </c>
      <c r="Q4">
        <v>1.05</v>
      </c>
      <c r="R4">
        <v>77.849999999999994</v>
      </c>
      <c r="S4">
        <v>2487.5</v>
      </c>
      <c r="T4">
        <v>0.89</v>
      </c>
      <c r="U4" s="14" t="s">
        <v>104</v>
      </c>
      <c r="V4">
        <v>8.4</v>
      </c>
      <c r="W4" s="14" t="s">
        <v>100</v>
      </c>
      <c r="X4">
        <v>89.3</v>
      </c>
      <c r="Y4">
        <v>5.0999999999999996</v>
      </c>
      <c r="Z4">
        <v>4.7</v>
      </c>
    </row>
    <row r="5" spans="1:26">
      <c r="A5" s="14" t="s">
        <v>109</v>
      </c>
      <c r="B5" s="7">
        <v>45519</v>
      </c>
      <c r="C5" s="14" t="s">
        <v>110</v>
      </c>
      <c r="D5">
        <v>18234.5</v>
      </c>
      <c r="E5">
        <v>0.67</v>
      </c>
      <c r="F5">
        <v>2.9</v>
      </c>
      <c r="G5">
        <v>0.3</v>
      </c>
      <c r="H5">
        <v>2.2000000000000002</v>
      </c>
      <c r="I5">
        <v>4.5</v>
      </c>
      <c r="J5">
        <v>3.1</v>
      </c>
      <c r="K5" s="14" t="s">
        <v>111</v>
      </c>
      <c r="L5">
        <v>0.92</v>
      </c>
      <c r="M5">
        <v>1.8</v>
      </c>
      <c r="N5">
        <v>66.3</v>
      </c>
      <c r="O5">
        <v>297.39999999999998</v>
      </c>
      <c r="P5">
        <v>67.8</v>
      </c>
      <c r="Q5">
        <v>1.08</v>
      </c>
      <c r="R5">
        <v>77.849999999999994</v>
      </c>
      <c r="S5">
        <v>2487.5</v>
      </c>
      <c r="T5">
        <v>2.31</v>
      </c>
      <c r="U5" s="14" t="s">
        <v>99</v>
      </c>
      <c r="V5">
        <v>8.6999999999999993</v>
      </c>
      <c r="W5" s="14" t="s">
        <v>100</v>
      </c>
      <c r="X5">
        <v>112.4</v>
      </c>
      <c r="Y5">
        <v>2.1</v>
      </c>
      <c r="Z5">
        <v>1.8</v>
      </c>
    </row>
    <row r="6" spans="1:26">
      <c r="A6" s="14" t="s">
        <v>112</v>
      </c>
      <c r="B6" s="7">
        <v>45519</v>
      </c>
      <c r="C6" s="14" t="s">
        <v>113</v>
      </c>
      <c r="D6">
        <v>8156.3</v>
      </c>
      <c r="E6">
        <v>-0.15</v>
      </c>
      <c r="F6">
        <v>3.1</v>
      </c>
      <c r="G6">
        <v>1.1000000000000001</v>
      </c>
      <c r="H6">
        <v>2</v>
      </c>
      <c r="I6">
        <v>5.25</v>
      </c>
      <c r="J6">
        <v>4.2</v>
      </c>
      <c r="K6" s="14" t="s">
        <v>114</v>
      </c>
      <c r="L6">
        <v>0.78</v>
      </c>
      <c r="M6">
        <v>-0.9</v>
      </c>
      <c r="N6">
        <v>101.2</v>
      </c>
      <c r="O6">
        <v>-85.6</v>
      </c>
      <c r="P6">
        <v>45.2</v>
      </c>
      <c r="Q6">
        <v>1.06</v>
      </c>
      <c r="R6">
        <v>77.849999999999994</v>
      </c>
      <c r="S6">
        <v>2487.5</v>
      </c>
      <c r="T6">
        <v>3.89</v>
      </c>
      <c r="U6" s="14" t="s">
        <v>115</v>
      </c>
      <c r="V6">
        <v>7.9</v>
      </c>
      <c r="W6" s="14" t="s">
        <v>105</v>
      </c>
      <c r="X6">
        <v>97.8</v>
      </c>
      <c r="Y6">
        <v>0.9</v>
      </c>
      <c r="Z6">
        <v>1.2</v>
      </c>
    </row>
    <row r="7" spans="1:26">
      <c r="A7" s="14" t="s">
        <v>116</v>
      </c>
      <c r="B7" s="7">
        <v>45519</v>
      </c>
      <c r="C7" s="14" t="s">
        <v>117</v>
      </c>
      <c r="D7">
        <v>7389.2</v>
      </c>
      <c r="E7">
        <v>0.28000000000000003</v>
      </c>
      <c r="F7">
        <v>3</v>
      </c>
      <c r="G7">
        <v>1.3</v>
      </c>
      <c r="H7">
        <v>2.2999999999999998</v>
      </c>
      <c r="I7">
        <v>4.5</v>
      </c>
      <c r="J7">
        <v>7.4</v>
      </c>
      <c r="K7" s="14" t="s">
        <v>111</v>
      </c>
      <c r="L7">
        <v>0.92</v>
      </c>
      <c r="M7">
        <v>1.8</v>
      </c>
      <c r="N7">
        <v>111.8</v>
      </c>
      <c r="O7">
        <v>-22.1</v>
      </c>
      <c r="P7">
        <v>56.7</v>
      </c>
      <c r="Q7">
        <v>1.08</v>
      </c>
      <c r="R7">
        <v>77.849999999999994</v>
      </c>
      <c r="S7">
        <v>2487.5</v>
      </c>
      <c r="T7">
        <v>2.95</v>
      </c>
      <c r="U7" s="14" t="s">
        <v>115</v>
      </c>
      <c r="V7">
        <v>7.3</v>
      </c>
      <c r="W7" s="14" t="s">
        <v>105</v>
      </c>
      <c r="X7">
        <v>103.2</v>
      </c>
      <c r="Y7">
        <v>1.8</v>
      </c>
      <c r="Z7">
        <v>2.1</v>
      </c>
    </row>
    <row r="8" spans="1:26">
      <c r="A8" s="14" t="s">
        <v>118</v>
      </c>
      <c r="B8" s="7">
        <v>45519</v>
      </c>
      <c r="C8" s="14" t="s">
        <v>119</v>
      </c>
      <c r="D8">
        <v>80456.7</v>
      </c>
      <c r="E8">
        <v>0.89</v>
      </c>
      <c r="F8">
        <v>4.3</v>
      </c>
      <c r="G8">
        <v>6.8</v>
      </c>
      <c r="H8">
        <v>4.9000000000000004</v>
      </c>
      <c r="I8">
        <v>6.5</v>
      </c>
      <c r="J8">
        <v>3.2</v>
      </c>
      <c r="K8" s="14" t="s">
        <v>120</v>
      </c>
      <c r="L8">
        <v>83.7</v>
      </c>
      <c r="M8">
        <v>-0.5</v>
      </c>
      <c r="N8">
        <v>84.2</v>
      </c>
      <c r="O8">
        <v>-23.1</v>
      </c>
      <c r="P8">
        <v>67.400000000000006</v>
      </c>
      <c r="Q8">
        <v>1.1499999999999999</v>
      </c>
      <c r="R8">
        <v>77.849999999999994</v>
      </c>
      <c r="S8">
        <v>2487.5</v>
      </c>
      <c r="T8">
        <v>7.04</v>
      </c>
      <c r="U8" s="14" t="s">
        <v>121</v>
      </c>
      <c r="V8">
        <v>6.8</v>
      </c>
      <c r="W8" s="14" t="s">
        <v>105</v>
      </c>
      <c r="X8">
        <v>134.80000000000001</v>
      </c>
      <c r="Y8">
        <v>13.2</v>
      </c>
      <c r="Z8">
        <v>10.9</v>
      </c>
    </row>
    <row r="9" spans="1:26">
      <c r="A9" s="14" t="s">
        <v>122</v>
      </c>
      <c r="B9" s="7">
        <v>45519</v>
      </c>
      <c r="C9" s="14" t="s">
        <v>123</v>
      </c>
      <c r="D9">
        <v>22567.8</v>
      </c>
      <c r="E9">
        <v>0.45</v>
      </c>
      <c r="F9">
        <v>2.8</v>
      </c>
      <c r="G9">
        <v>2.9</v>
      </c>
      <c r="H9">
        <v>2.8</v>
      </c>
      <c r="I9">
        <v>4.75</v>
      </c>
      <c r="J9">
        <v>6.1</v>
      </c>
      <c r="K9" s="14" t="s">
        <v>124</v>
      </c>
      <c r="L9">
        <v>1.37</v>
      </c>
      <c r="M9">
        <v>4.2</v>
      </c>
      <c r="N9">
        <v>106.7</v>
      </c>
      <c r="O9">
        <v>12.8</v>
      </c>
      <c r="P9">
        <v>34.5</v>
      </c>
      <c r="Q9">
        <v>1.0900000000000001</v>
      </c>
      <c r="R9">
        <v>77.849999999999994</v>
      </c>
      <c r="S9">
        <v>2487.5</v>
      </c>
      <c r="T9">
        <v>3.42</v>
      </c>
      <c r="U9" s="14" t="s">
        <v>99</v>
      </c>
      <c r="V9">
        <v>8.9</v>
      </c>
      <c r="W9" s="14" t="s">
        <v>100</v>
      </c>
      <c r="X9">
        <v>126.7</v>
      </c>
      <c r="Y9">
        <v>4.0999999999999996</v>
      </c>
      <c r="Z9">
        <v>3.8</v>
      </c>
    </row>
    <row r="10" spans="1:26">
      <c r="A10" s="14" t="s">
        <v>125</v>
      </c>
      <c r="B10" s="7">
        <v>45519</v>
      </c>
      <c r="C10" s="14" t="s">
        <v>126</v>
      </c>
      <c r="D10">
        <v>129834.2</v>
      </c>
      <c r="E10">
        <v>1.67</v>
      </c>
      <c r="F10">
        <v>1.4</v>
      </c>
      <c r="G10">
        <v>2.1</v>
      </c>
      <c r="H10">
        <v>4.5</v>
      </c>
      <c r="I10">
        <v>10.75</v>
      </c>
      <c r="J10">
        <v>7.8</v>
      </c>
      <c r="K10" s="14" t="s">
        <v>127</v>
      </c>
      <c r="L10">
        <v>5.47</v>
      </c>
      <c r="M10">
        <v>-8.9</v>
      </c>
      <c r="N10">
        <v>87.7</v>
      </c>
      <c r="O10">
        <v>-46.9</v>
      </c>
      <c r="P10">
        <v>67.2</v>
      </c>
      <c r="Q10">
        <v>0.95</v>
      </c>
      <c r="R10">
        <v>77.849999999999994</v>
      </c>
      <c r="S10">
        <v>2487.5</v>
      </c>
      <c r="T10">
        <v>10.84</v>
      </c>
      <c r="U10" s="14" t="s">
        <v>128</v>
      </c>
      <c r="V10">
        <v>5.4</v>
      </c>
      <c r="W10" s="14" t="s">
        <v>129</v>
      </c>
      <c r="X10">
        <v>89.3</v>
      </c>
      <c r="Y10">
        <v>8.6999999999999993</v>
      </c>
      <c r="Z10">
        <v>6.9</v>
      </c>
    </row>
    <row r="11" spans="1:26">
      <c r="A11" s="14" t="s">
        <v>130</v>
      </c>
      <c r="B11" s="7">
        <v>45519</v>
      </c>
      <c r="C11" s="14" t="s">
        <v>131</v>
      </c>
      <c r="D11">
        <v>7923.4</v>
      </c>
      <c r="E11">
        <v>0.22</v>
      </c>
      <c r="F11">
        <v>1.8</v>
      </c>
      <c r="G11">
        <v>1.7</v>
      </c>
      <c r="H11">
        <v>3.8</v>
      </c>
      <c r="I11">
        <v>4.3499999999999996</v>
      </c>
      <c r="J11">
        <v>4.0999999999999996</v>
      </c>
      <c r="K11" s="14" t="s">
        <v>132</v>
      </c>
      <c r="L11">
        <v>1.52</v>
      </c>
      <c r="M11">
        <v>5.6</v>
      </c>
      <c r="N11">
        <v>45.1</v>
      </c>
      <c r="O11">
        <v>67.8</v>
      </c>
      <c r="P11">
        <v>45.7</v>
      </c>
      <c r="Q11">
        <v>1.1100000000000001</v>
      </c>
      <c r="R11">
        <v>77.849999999999994</v>
      </c>
      <c r="S11">
        <v>2487.5</v>
      </c>
      <c r="T11">
        <v>4.07</v>
      </c>
      <c r="U11" s="14" t="s">
        <v>99</v>
      </c>
      <c r="V11">
        <v>8.6</v>
      </c>
      <c r="W11" s="14" t="s">
        <v>100</v>
      </c>
      <c r="X11">
        <v>118.9</v>
      </c>
      <c r="Y11">
        <v>6.2</v>
      </c>
      <c r="Z11">
        <v>5.4</v>
      </c>
    </row>
    <row r="12" spans="1:26">
      <c r="A12" s="14" t="s">
        <v>133</v>
      </c>
      <c r="B12" s="7">
        <v>45519</v>
      </c>
      <c r="C12" s="14" t="s">
        <v>134</v>
      </c>
      <c r="D12">
        <v>2634.5</v>
      </c>
      <c r="E12">
        <v>-0.34</v>
      </c>
      <c r="F12">
        <v>1.9</v>
      </c>
      <c r="G12">
        <v>3.1</v>
      </c>
      <c r="H12">
        <v>2.4</v>
      </c>
      <c r="I12">
        <v>3.5</v>
      </c>
      <c r="J12">
        <v>2.9</v>
      </c>
      <c r="K12" s="14" t="s">
        <v>135</v>
      </c>
      <c r="L12">
        <v>1342.5</v>
      </c>
      <c r="M12">
        <v>-2.1</v>
      </c>
      <c r="N12">
        <v>54.6</v>
      </c>
      <c r="O12">
        <v>67.400000000000006</v>
      </c>
      <c r="P12">
        <v>12.8</v>
      </c>
      <c r="Q12">
        <v>1.02</v>
      </c>
      <c r="R12">
        <v>77.849999999999994</v>
      </c>
      <c r="S12">
        <v>2487.5</v>
      </c>
      <c r="T12">
        <v>3.28</v>
      </c>
      <c r="U12" s="14" t="s">
        <v>115</v>
      </c>
      <c r="V12">
        <v>7.8</v>
      </c>
      <c r="W12" s="14" t="s">
        <v>100</v>
      </c>
      <c r="X12">
        <v>95.6</v>
      </c>
      <c r="Y12">
        <v>9.1</v>
      </c>
      <c r="Z12">
        <v>7.8</v>
      </c>
    </row>
    <row r="13" spans="1:26">
      <c r="A13" s="14" t="s">
        <v>136</v>
      </c>
      <c r="B13" s="7">
        <v>45519</v>
      </c>
      <c r="C13" s="14" t="s">
        <v>137</v>
      </c>
      <c r="D13">
        <v>2789.1</v>
      </c>
      <c r="E13">
        <v>0.78</v>
      </c>
      <c r="F13">
        <v>0.6</v>
      </c>
      <c r="G13">
        <v>-1.9</v>
      </c>
      <c r="H13">
        <v>7.4</v>
      </c>
      <c r="I13">
        <v>16</v>
      </c>
      <c r="J13">
        <v>3.4</v>
      </c>
      <c r="K13" s="14" t="s">
        <v>138</v>
      </c>
      <c r="L13">
        <v>91.2</v>
      </c>
      <c r="M13">
        <v>-15.6</v>
      </c>
      <c r="N13">
        <v>21.4</v>
      </c>
      <c r="O13">
        <v>67.8</v>
      </c>
      <c r="P13">
        <v>8.9</v>
      </c>
      <c r="Q13">
        <v>0.87</v>
      </c>
      <c r="R13">
        <v>77.849999999999994</v>
      </c>
      <c r="S13">
        <v>2487.5</v>
      </c>
      <c r="T13">
        <v>12.45</v>
      </c>
      <c r="U13" s="14" t="s">
        <v>139</v>
      </c>
      <c r="V13">
        <v>3.2</v>
      </c>
      <c r="W13" s="14" t="s">
        <v>129</v>
      </c>
      <c r="X13">
        <v>67.400000000000006</v>
      </c>
      <c r="Y13">
        <v>15.2</v>
      </c>
      <c r="Z13">
        <v>18.7</v>
      </c>
    </row>
    <row r="14" spans="1:26">
      <c r="A14" s="14" t="s">
        <v>140</v>
      </c>
      <c r="B14" s="7">
        <v>45519</v>
      </c>
      <c r="C14" s="14" t="s">
        <v>141</v>
      </c>
      <c r="D14">
        <v>55234.6</v>
      </c>
      <c r="E14">
        <v>0.91</v>
      </c>
      <c r="F14">
        <v>0.7</v>
      </c>
      <c r="G14">
        <v>2.4</v>
      </c>
      <c r="H14">
        <v>4.7</v>
      </c>
      <c r="I14">
        <v>11</v>
      </c>
      <c r="J14">
        <v>2.8</v>
      </c>
      <c r="K14" s="14" t="s">
        <v>142</v>
      </c>
      <c r="L14">
        <v>19.8</v>
      </c>
      <c r="M14">
        <v>-10.199999999999999</v>
      </c>
      <c r="N14">
        <v>54.7</v>
      </c>
      <c r="O14">
        <v>-12.4</v>
      </c>
      <c r="P14">
        <v>34.700000000000003</v>
      </c>
      <c r="Q14">
        <v>0.89</v>
      </c>
      <c r="R14">
        <v>77.849999999999994</v>
      </c>
      <c r="S14">
        <v>2487.5</v>
      </c>
      <c r="T14">
        <v>9.1199999999999992</v>
      </c>
      <c r="U14" s="14" t="s">
        <v>143</v>
      </c>
      <c r="V14">
        <v>6.1</v>
      </c>
      <c r="W14" s="14" t="s">
        <v>105</v>
      </c>
      <c r="X14">
        <v>102.3</v>
      </c>
      <c r="Y14">
        <v>7.9</v>
      </c>
      <c r="Z14">
        <v>8.1999999999999993</v>
      </c>
    </row>
    <row r="15" spans="1:26">
      <c r="A15" s="14" t="s">
        <v>144</v>
      </c>
      <c r="B15" s="7">
        <v>45519</v>
      </c>
      <c r="C15" s="14" t="s">
        <v>145</v>
      </c>
      <c r="D15">
        <v>33456.699999999997</v>
      </c>
      <c r="E15">
        <v>0.34</v>
      </c>
      <c r="F15">
        <v>0.9</v>
      </c>
      <c r="G15">
        <v>0.7</v>
      </c>
      <c r="H15">
        <v>1</v>
      </c>
      <c r="I15">
        <v>4.5</v>
      </c>
      <c r="J15">
        <v>7.6</v>
      </c>
      <c r="K15" s="14" t="s">
        <v>111</v>
      </c>
      <c r="L15">
        <v>0.92</v>
      </c>
      <c r="M15">
        <v>1.8</v>
      </c>
      <c r="N15">
        <v>144.4</v>
      </c>
      <c r="O15">
        <v>-56.7</v>
      </c>
      <c r="P15">
        <v>28.9</v>
      </c>
      <c r="Q15">
        <v>1.08</v>
      </c>
      <c r="R15">
        <v>77.849999999999994</v>
      </c>
      <c r="S15">
        <v>2487.5</v>
      </c>
      <c r="T15">
        <v>3.67</v>
      </c>
      <c r="U15" s="14" t="s">
        <v>143</v>
      </c>
      <c r="V15">
        <v>7.1</v>
      </c>
      <c r="W15" s="14" t="s">
        <v>105</v>
      </c>
      <c r="X15">
        <v>89.7</v>
      </c>
      <c r="Y15">
        <v>3.2</v>
      </c>
      <c r="Z15">
        <v>2.9</v>
      </c>
    </row>
    <row r="16" spans="1:26">
      <c r="A16" s="14" t="s">
        <v>146</v>
      </c>
      <c r="B16" s="7">
        <v>45519</v>
      </c>
      <c r="C16" s="14" t="s">
        <v>147</v>
      </c>
      <c r="D16">
        <v>11123.8</v>
      </c>
      <c r="E16">
        <v>0.67</v>
      </c>
      <c r="F16">
        <v>0.8</v>
      </c>
      <c r="G16">
        <v>2.5</v>
      </c>
      <c r="H16">
        <v>3.2</v>
      </c>
      <c r="I16">
        <v>4.5</v>
      </c>
      <c r="J16">
        <v>11.5</v>
      </c>
      <c r="K16" s="14" t="s">
        <v>111</v>
      </c>
      <c r="L16">
        <v>0.92</v>
      </c>
      <c r="M16">
        <v>1.8</v>
      </c>
      <c r="N16">
        <v>107.7</v>
      </c>
      <c r="O16">
        <v>23.4</v>
      </c>
      <c r="P16">
        <v>45.6</v>
      </c>
      <c r="Q16">
        <v>1.08</v>
      </c>
      <c r="R16">
        <v>77.849999999999994</v>
      </c>
      <c r="S16">
        <v>2487.5</v>
      </c>
      <c r="T16">
        <v>3.21</v>
      </c>
      <c r="U16" s="14" t="s">
        <v>148</v>
      </c>
      <c r="V16">
        <v>7.8</v>
      </c>
      <c r="W16" s="14" t="s">
        <v>105</v>
      </c>
      <c r="X16">
        <v>98.3</v>
      </c>
      <c r="Y16">
        <v>4.0999999999999996</v>
      </c>
      <c r="Z16">
        <v>3.7</v>
      </c>
    </row>
    <row r="17" spans="1:26">
      <c r="A17" s="14" t="s">
        <v>149</v>
      </c>
      <c r="B17" s="7">
        <v>45519</v>
      </c>
      <c r="C17" s="14" t="s">
        <v>150</v>
      </c>
      <c r="D17">
        <v>889.3</v>
      </c>
      <c r="E17">
        <v>0.12</v>
      </c>
      <c r="F17">
        <v>1.1000000000000001</v>
      </c>
      <c r="G17">
        <v>0.6</v>
      </c>
      <c r="H17">
        <v>1.1000000000000001</v>
      </c>
      <c r="I17">
        <v>4.5</v>
      </c>
      <c r="J17">
        <v>3.6</v>
      </c>
      <c r="K17" s="14" t="s">
        <v>111</v>
      </c>
      <c r="L17">
        <v>0.92</v>
      </c>
      <c r="M17">
        <v>1.8</v>
      </c>
      <c r="N17">
        <v>52.4</v>
      </c>
      <c r="O17">
        <v>89.7</v>
      </c>
      <c r="P17">
        <v>78.900000000000006</v>
      </c>
      <c r="Q17">
        <v>1.08</v>
      </c>
      <c r="R17">
        <v>77.849999999999994</v>
      </c>
      <c r="S17">
        <v>2487.5</v>
      </c>
      <c r="T17">
        <v>2.78</v>
      </c>
      <c r="U17" s="14" t="s">
        <v>99</v>
      </c>
      <c r="V17">
        <v>8.8000000000000007</v>
      </c>
      <c r="W17" s="14" t="s">
        <v>100</v>
      </c>
      <c r="X17">
        <v>134.5</v>
      </c>
      <c r="Y17">
        <v>2.8</v>
      </c>
      <c r="Z17">
        <v>2.4</v>
      </c>
    </row>
    <row r="18" spans="1:26">
      <c r="A18" s="14" t="s">
        <v>151</v>
      </c>
      <c r="B18" s="7">
        <v>45519</v>
      </c>
      <c r="C18" s="14" t="s">
        <v>152</v>
      </c>
      <c r="D18">
        <v>12234.5</v>
      </c>
      <c r="E18">
        <v>0.28000000000000003</v>
      </c>
      <c r="F18">
        <v>1.8</v>
      </c>
      <c r="G18">
        <v>1.2</v>
      </c>
      <c r="H18">
        <v>1.4</v>
      </c>
      <c r="I18">
        <v>1.25</v>
      </c>
      <c r="J18">
        <v>2.4</v>
      </c>
      <c r="K18" s="14" t="s">
        <v>153</v>
      </c>
      <c r="L18">
        <v>0.87</v>
      </c>
      <c r="M18">
        <v>6.2</v>
      </c>
      <c r="N18">
        <v>41</v>
      </c>
      <c r="O18">
        <v>67.8</v>
      </c>
      <c r="P18">
        <v>23.4</v>
      </c>
      <c r="Q18">
        <v>1.1299999999999999</v>
      </c>
      <c r="R18">
        <v>77.849999999999994</v>
      </c>
      <c r="S18">
        <v>2487.5</v>
      </c>
      <c r="T18">
        <v>0.68</v>
      </c>
      <c r="U18" s="14" t="s">
        <v>99</v>
      </c>
      <c r="V18">
        <v>9.1</v>
      </c>
      <c r="W18" s="14" t="s">
        <v>100</v>
      </c>
      <c r="X18">
        <v>142.6</v>
      </c>
      <c r="Y18">
        <v>1.9</v>
      </c>
      <c r="Z18">
        <v>2.1</v>
      </c>
    </row>
    <row r="19" spans="1:26">
      <c r="A19" s="14" t="s">
        <v>154</v>
      </c>
      <c r="B19" s="7">
        <v>45519</v>
      </c>
      <c r="C19" s="14" t="s">
        <v>155</v>
      </c>
      <c r="D19">
        <v>2567.8000000000002</v>
      </c>
      <c r="E19">
        <v>0.45</v>
      </c>
      <c r="F19">
        <v>0.7</v>
      </c>
      <c r="G19">
        <v>0.8</v>
      </c>
      <c r="H19">
        <v>1.9</v>
      </c>
      <c r="I19">
        <v>3.75</v>
      </c>
      <c r="J19">
        <v>7.8</v>
      </c>
      <c r="K19" s="14" t="s">
        <v>156</v>
      </c>
      <c r="L19">
        <v>10.9</v>
      </c>
      <c r="M19">
        <v>-4.7</v>
      </c>
      <c r="N19">
        <v>35.1</v>
      </c>
      <c r="O19">
        <v>34.5</v>
      </c>
      <c r="P19">
        <v>12.8</v>
      </c>
      <c r="Q19">
        <v>1.07</v>
      </c>
      <c r="R19">
        <v>77.849999999999994</v>
      </c>
      <c r="S19">
        <v>2487.5</v>
      </c>
      <c r="T19">
        <v>2.34</v>
      </c>
      <c r="U19" s="14" t="s">
        <v>99</v>
      </c>
      <c r="V19">
        <v>8.9</v>
      </c>
      <c r="W19" s="14" t="s">
        <v>100</v>
      </c>
      <c r="X19">
        <v>119.8</v>
      </c>
      <c r="Y19">
        <v>3.4</v>
      </c>
      <c r="Z19">
        <v>2.9</v>
      </c>
    </row>
    <row r="20" spans="1:26">
      <c r="A20" s="14" t="s">
        <v>157</v>
      </c>
      <c r="B20" s="7">
        <v>45519</v>
      </c>
      <c r="C20" s="14" t="s">
        <v>158</v>
      </c>
      <c r="D20">
        <v>1345.6</v>
      </c>
      <c r="E20">
        <v>0.67</v>
      </c>
      <c r="F20">
        <v>0.4</v>
      </c>
      <c r="G20">
        <v>2.1</v>
      </c>
      <c r="H20">
        <v>3.1</v>
      </c>
      <c r="I20">
        <v>4.5</v>
      </c>
      <c r="J20">
        <v>3.4</v>
      </c>
      <c r="K20" s="14" t="s">
        <v>159</v>
      </c>
      <c r="L20">
        <v>11.2</v>
      </c>
      <c r="M20">
        <v>2.8</v>
      </c>
      <c r="N20">
        <v>45.7</v>
      </c>
      <c r="O20">
        <v>78.900000000000006</v>
      </c>
      <c r="P20">
        <v>8.9</v>
      </c>
      <c r="Q20">
        <v>1.1399999999999999</v>
      </c>
      <c r="R20">
        <v>77.849999999999994</v>
      </c>
      <c r="S20">
        <v>2487.5</v>
      </c>
      <c r="T20">
        <v>3.12</v>
      </c>
      <c r="U20" s="14" t="s">
        <v>99</v>
      </c>
      <c r="V20">
        <v>9</v>
      </c>
      <c r="W20" s="14" t="s">
        <v>100</v>
      </c>
      <c r="X20">
        <v>127.3</v>
      </c>
      <c r="Y20">
        <v>8.9</v>
      </c>
      <c r="Z20">
        <v>6.7</v>
      </c>
    </row>
    <row r="21" spans="1:26">
      <c r="A21" s="14" t="s">
        <v>160</v>
      </c>
      <c r="B21" s="7">
        <v>45519</v>
      </c>
      <c r="C21" s="14" t="s">
        <v>161</v>
      </c>
      <c r="D21">
        <v>2234.5</v>
      </c>
      <c r="E21">
        <v>0.23</v>
      </c>
      <c r="F21">
        <v>0.4</v>
      </c>
      <c r="G21">
        <v>1.8</v>
      </c>
      <c r="H21">
        <v>1.7</v>
      </c>
      <c r="I21">
        <v>3.6</v>
      </c>
      <c r="J21">
        <v>5.0999999999999996</v>
      </c>
      <c r="K21" s="14" t="s">
        <v>162</v>
      </c>
      <c r="L21">
        <v>6.86</v>
      </c>
      <c r="M21">
        <v>1.9</v>
      </c>
      <c r="N21">
        <v>29.8</v>
      </c>
      <c r="O21">
        <v>23.4</v>
      </c>
      <c r="P21">
        <v>5.6</v>
      </c>
      <c r="Q21">
        <v>1.08</v>
      </c>
      <c r="R21">
        <v>77.849999999999994</v>
      </c>
      <c r="S21">
        <v>2487.5</v>
      </c>
      <c r="T21">
        <v>2.4500000000000002</v>
      </c>
      <c r="U21" s="14" t="s">
        <v>99</v>
      </c>
      <c r="V21">
        <v>8.9</v>
      </c>
      <c r="W21" s="14" t="s">
        <v>100</v>
      </c>
      <c r="X21">
        <v>124.7</v>
      </c>
      <c r="Y21">
        <v>2.1</v>
      </c>
      <c r="Z21">
        <v>1.8</v>
      </c>
    </row>
    <row r="22" spans="1:26">
      <c r="A22" s="14" t="s">
        <v>163</v>
      </c>
      <c r="B22" s="7">
        <v>45519</v>
      </c>
      <c r="C22" s="14" t="s">
        <v>164</v>
      </c>
      <c r="D22">
        <v>3456.7</v>
      </c>
      <c r="E22">
        <v>0.56000000000000005</v>
      </c>
      <c r="F22">
        <v>0.8</v>
      </c>
      <c r="G22">
        <v>2.6</v>
      </c>
      <c r="H22">
        <v>2.4</v>
      </c>
      <c r="I22">
        <v>3.5</v>
      </c>
      <c r="J22">
        <v>2.1</v>
      </c>
      <c r="K22" s="14" t="s">
        <v>165</v>
      </c>
      <c r="L22">
        <v>1.35</v>
      </c>
      <c r="M22">
        <v>1.2</v>
      </c>
      <c r="N22">
        <v>130.1</v>
      </c>
      <c r="O22">
        <v>67.8</v>
      </c>
      <c r="P22">
        <v>89.7</v>
      </c>
      <c r="Q22">
        <v>1.0900000000000001</v>
      </c>
      <c r="R22">
        <v>77.849999999999994</v>
      </c>
      <c r="S22">
        <v>2487.5</v>
      </c>
      <c r="T22">
        <v>3.18</v>
      </c>
      <c r="U22" s="14" t="s">
        <v>99</v>
      </c>
      <c r="V22">
        <v>8.6999999999999993</v>
      </c>
      <c r="W22" s="14" t="s">
        <v>100</v>
      </c>
      <c r="X22">
        <v>98.9</v>
      </c>
      <c r="Y22">
        <v>12.4</v>
      </c>
      <c r="Z22">
        <v>11.7</v>
      </c>
    </row>
    <row r="23" spans="1:26">
      <c r="A23" s="14" t="s">
        <v>166</v>
      </c>
      <c r="B23" s="7">
        <v>45519</v>
      </c>
      <c r="C23" s="14" t="s">
        <v>167</v>
      </c>
      <c r="D23">
        <v>17234.5</v>
      </c>
      <c r="E23">
        <v>-1.23</v>
      </c>
      <c r="F23">
        <v>4.2</v>
      </c>
      <c r="G23">
        <v>3.2</v>
      </c>
      <c r="H23">
        <v>1.8</v>
      </c>
      <c r="I23">
        <v>5.75</v>
      </c>
      <c r="J23">
        <v>2.8</v>
      </c>
      <c r="K23" s="14" t="s">
        <v>168</v>
      </c>
      <c r="L23">
        <v>7.82</v>
      </c>
      <c r="M23">
        <v>0.1</v>
      </c>
      <c r="N23">
        <v>0.1</v>
      </c>
      <c r="O23">
        <v>34.5</v>
      </c>
      <c r="P23">
        <v>67.8</v>
      </c>
      <c r="Q23">
        <v>0.98</v>
      </c>
      <c r="R23">
        <v>77.849999999999994</v>
      </c>
      <c r="S23">
        <v>2487.5</v>
      </c>
      <c r="T23">
        <v>3.89</v>
      </c>
      <c r="U23" s="14" t="s">
        <v>169</v>
      </c>
      <c r="V23">
        <v>7.2</v>
      </c>
      <c r="W23" s="14" t="s">
        <v>105</v>
      </c>
      <c r="X23">
        <v>87.6</v>
      </c>
      <c r="Y23">
        <v>6.7</v>
      </c>
      <c r="Z23">
        <v>5.9</v>
      </c>
    </row>
    <row r="24" spans="1:26">
      <c r="A24" s="14" t="s">
        <v>170</v>
      </c>
      <c r="B24" s="7">
        <v>45519</v>
      </c>
      <c r="C24" s="14" t="s">
        <v>171</v>
      </c>
      <c r="D24">
        <v>22567.8</v>
      </c>
      <c r="E24">
        <v>0.78</v>
      </c>
      <c r="F24">
        <v>2.1</v>
      </c>
      <c r="G24">
        <v>3.8</v>
      </c>
      <c r="H24">
        <v>2.1</v>
      </c>
      <c r="I24">
        <v>1.5</v>
      </c>
      <c r="J24">
        <v>3.7</v>
      </c>
      <c r="K24" s="14" t="s">
        <v>172</v>
      </c>
      <c r="L24">
        <v>32.1</v>
      </c>
      <c r="M24">
        <v>-1.8</v>
      </c>
      <c r="N24">
        <v>28.7</v>
      </c>
      <c r="O24">
        <v>89.7</v>
      </c>
      <c r="P24">
        <v>12.3</v>
      </c>
      <c r="Q24">
        <v>1.04</v>
      </c>
      <c r="R24">
        <v>77.849999999999994</v>
      </c>
      <c r="S24">
        <v>2487.5</v>
      </c>
      <c r="T24">
        <v>1.23</v>
      </c>
      <c r="U24" s="14" t="s">
        <v>115</v>
      </c>
      <c r="V24">
        <v>8.1</v>
      </c>
      <c r="W24" s="14" t="s">
        <v>100</v>
      </c>
      <c r="X24">
        <v>112.4</v>
      </c>
      <c r="Y24">
        <v>15.2</v>
      </c>
      <c r="Z24">
        <v>13.8</v>
      </c>
    </row>
    <row r="25" spans="1:26">
      <c r="A25" s="14" t="s">
        <v>173</v>
      </c>
      <c r="B25" s="7">
        <v>45519</v>
      </c>
      <c r="C25" s="14" t="s">
        <v>174</v>
      </c>
      <c r="D25">
        <v>7234.5</v>
      </c>
      <c r="E25">
        <v>0.45</v>
      </c>
      <c r="F25">
        <v>0.7</v>
      </c>
      <c r="G25">
        <v>5.0999999999999996</v>
      </c>
      <c r="H25">
        <v>2.8</v>
      </c>
      <c r="I25">
        <v>6</v>
      </c>
      <c r="J25">
        <v>5.4</v>
      </c>
      <c r="K25" s="14" t="s">
        <v>175</v>
      </c>
      <c r="L25">
        <v>15487</v>
      </c>
      <c r="M25">
        <v>-2.2999999999999998</v>
      </c>
      <c r="N25">
        <v>39.799999999999997</v>
      </c>
      <c r="O25">
        <v>-12.1</v>
      </c>
      <c r="P25">
        <v>23.4</v>
      </c>
      <c r="Q25">
        <v>0.94</v>
      </c>
      <c r="R25">
        <v>77.849999999999994</v>
      </c>
      <c r="S25">
        <v>2487.5</v>
      </c>
      <c r="T25">
        <v>7.12</v>
      </c>
      <c r="U25" s="14" t="s">
        <v>143</v>
      </c>
      <c r="V25">
        <v>6.5</v>
      </c>
      <c r="W25" s="14" t="s">
        <v>105</v>
      </c>
      <c r="X25">
        <v>89.7</v>
      </c>
      <c r="Y25">
        <v>8.9</v>
      </c>
      <c r="Z25">
        <v>7.3</v>
      </c>
    </row>
    <row r="26" spans="1:26">
      <c r="A26" s="14" t="s">
        <v>176</v>
      </c>
      <c r="B26" s="7">
        <v>45519</v>
      </c>
      <c r="C26" s="14" t="s">
        <v>177</v>
      </c>
      <c r="D26">
        <v>1567.8</v>
      </c>
      <c r="E26">
        <v>0.34</v>
      </c>
      <c r="F26">
        <v>0.6</v>
      </c>
      <c r="G26">
        <v>2.9</v>
      </c>
      <c r="H26">
        <v>0.4</v>
      </c>
      <c r="I26">
        <v>2.5</v>
      </c>
      <c r="J26">
        <v>1.2</v>
      </c>
      <c r="K26" s="14" t="s">
        <v>178</v>
      </c>
      <c r="L26">
        <v>36.200000000000003</v>
      </c>
      <c r="M26">
        <v>3.4</v>
      </c>
      <c r="N26">
        <v>61.4</v>
      </c>
      <c r="O26">
        <v>12.8</v>
      </c>
      <c r="P26">
        <v>8.9</v>
      </c>
      <c r="Q26">
        <v>0.97</v>
      </c>
      <c r="R26">
        <v>77.849999999999994</v>
      </c>
      <c r="S26">
        <v>2487.5</v>
      </c>
      <c r="T26">
        <v>2.67</v>
      </c>
      <c r="U26" s="14" t="s">
        <v>179</v>
      </c>
      <c r="V26">
        <v>7.1</v>
      </c>
      <c r="W26" s="14" t="s">
        <v>105</v>
      </c>
      <c r="X26">
        <v>95.3</v>
      </c>
      <c r="Y26">
        <v>4.0999999999999996</v>
      </c>
      <c r="Z26">
        <v>3.8</v>
      </c>
    </row>
    <row r="27" spans="1:26">
      <c r="A27" s="14" t="s">
        <v>180</v>
      </c>
      <c r="B27" s="7">
        <v>45519</v>
      </c>
      <c r="C27" s="14" t="s">
        <v>181</v>
      </c>
      <c r="D27">
        <v>1634.5</v>
      </c>
      <c r="E27">
        <v>0.67</v>
      </c>
      <c r="F27">
        <v>0.5</v>
      </c>
      <c r="G27">
        <v>4.2</v>
      </c>
      <c r="H27">
        <v>2</v>
      </c>
      <c r="I27">
        <v>3</v>
      </c>
      <c r="J27">
        <v>3.4</v>
      </c>
      <c r="K27" s="14" t="s">
        <v>182</v>
      </c>
      <c r="L27">
        <v>4.67</v>
      </c>
      <c r="M27">
        <v>-6.7</v>
      </c>
      <c r="N27">
        <v>70.099999999999994</v>
      </c>
      <c r="O27">
        <v>23.4</v>
      </c>
      <c r="P27">
        <v>12.1</v>
      </c>
      <c r="Q27">
        <v>0.91</v>
      </c>
      <c r="R27">
        <v>77.849999999999994</v>
      </c>
      <c r="S27">
        <v>2487.5</v>
      </c>
      <c r="T27">
        <v>3.78</v>
      </c>
      <c r="U27" s="14" t="s">
        <v>183</v>
      </c>
      <c r="V27">
        <v>7.3</v>
      </c>
      <c r="W27" s="14" t="s">
        <v>105</v>
      </c>
      <c r="X27">
        <v>87.9</v>
      </c>
      <c r="Y27">
        <v>6.7</v>
      </c>
      <c r="Z27">
        <v>5.9</v>
      </c>
    </row>
    <row r="28" spans="1:26">
      <c r="A28" s="14" t="s">
        <v>184</v>
      </c>
      <c r="B28" s="7">
        <v>45519</v>
      </c>
      <c r="C28" s="14" t="s">
        <v>185</v>
      </c>
      <c r="D28">
        <v>6789.1</v>
      </c>
      <c r="E28">
        <v>0.89</v>
      </c>
      <c r="F28">
        <v>0.3</v>
      </c>
      <c r="G28">
        <v>5.8</v>
      </c>
      <c r="H28">
        <v>3.7</v>
      </c>
      <c r="I28">
        <v>6.5</v>
      </c>
      <c r="J28">
        <v>5.9</v>
      </c>
      <c r="K28" s="14" t="s">
        <v>186</v>
      </c>
      <c r="L28">
        <v>56.3</v>
      </c>
      <c r="M28">
        <v>-8.9</v>
      </c>
      <c r="N28">
        <v>63.5</v>
      </c>
      <c r="O28">
        <v>-8.9</v>
      </c>
      <c r="P28">
        <v>9.8000000000000007</v>
      </c>
      <c r="Q28">
        <v>0.88</v>
      </c>
      <c r="R28">
        <v>77.849999999999994</v>
      </c>
      <c r="S28">
        <v>2487.5</v>
      </c>
      <c r="T28">
        <v>6.45</v>
      </c>
      <c r="U28" s="14" t="s">
        <v>179</v>
      </c>
      <c r="V28">
        <v>6.8</v>
      </c>
      <c r="W28" s="14" t="s">
        <v>105</v>
      </c>
      <c r="X28">
        <v>78.900000000000006</v>
      </c>
      <c r="Y28">
        <v>8.1</v>
      </c>
      <c r="Z28">
        <v>7.4</v>
      </c>
    </row>
    <row r="29" spans="1:26">
      <c r="A29" s="14" t="s">
        <v>187</v>
      </c>
      <c r="B29" s="7">
        <v>45519</v>
      </c>
      <c r="C29" s="14" t="s">
        <v>188</v>
      </c>
      <c r="D29">
        <v>1234.5</v>
      </c>
      <c r="E29">
        <v>1.23</v>
      </c>
      <c r="F29">
        <v>0.3</v>
      </c>
      <c r="G29">
        <v>6.4</v>
      </c>
      <c r="H29">
        <v>4.0999999999999996</v>
      </c>
      <c r="I29">
        <v>4.5</v>
      </c>
      <c r="J29">
        <v>12.3</v>
      </c>
      <c r="K29" s="14" t="s">
        <v>189</v>
      </c>
      <c r="L29">
        <v>24789</v>
      </c>
      <c r="M29">
        <v>-3.4</v>
      </c>
      <c r="N29">
        <v>43.1</v>
      </c>
      <c r="O29">
        <v>12.8</v>
      </c>
      <c r="P29">
        <v>15.6</v>
      </c>
      <c r="Q29">
        <v>0.85</v>
      </c>
      <c r="R29">
        <v>77.849999999999994</v>
      </c>
      <c r="S29">
        <v>2487.5</v>
      </c>
      <c r="T29">
        <v>2.89</v>
      </c>
      <c r="U29" s="14" t="s">
        <v>139</v>
      </c>
      <c r="V29">
        <v>6.2</v>
      </c>
      <c r="W29" s="14" t="s">
        <v>105</v>
      </c>
      <c r="X29">
        <v>123.4</v>
      </c>
      <c r="Y29">
        <v>12.8</v>
      </c>
      <c r="Z29">
        <v>14.2</v>
      </c>
    </row>
    <row r="30" spans="1:26">
      <c r="A30" s="14" t="s">
        <v>190</v>
      </c>
      <c r="B30" s="7">
        <v>45519</v>
      </c>
      <c r="C30" s="14" t="s">
        <v>191</v>
      </c>
      <c r="D30">
        <v>10567.8</v>
      </c>
      <c r="E30">
        <v>2.34</v>
      </c>
      <c r="F30">
        <v>0.3</v>
      </c>
      <c r="G30">
        <v>3.1</v>
      </c>
      <c r="H30">
        <v>64.8</v>
      </c>
      <c r="I30">
        <v>50</v>
      </c>
      <c r="J30">
        <v>10.5</v>
      </c>
      <c r="K30" s="14" t="s">
        <v>192</v>
      </c>
      <c r="L30">
        <v>33.700000000000003</v>
      </c>
      <c r="M30">
        <v>-35.6</v>
      </c>
      <c r="N30">
        <v>32.1</v>
      </c>
      <c r="O30">
        <v>-45.6</v>
      </c>
      <c r="P30">
        <v>12.8</v>
      </c>
      <c r="Q30">
        <v>0.76</v>
      </c>
      <c r="R30">
        <v>77.849999999999994</v>
      </c>
      <c r="S30">
        <v>2487.5</v>
      </c>
      <c r="T30">
        <v>28.45</v>
      </c>
      <c r="U30" s="14" t="s">
        <v>193</v>
      </c>
      <c r="V30">
        <v>4.8</v>
      </c>
      <c r="W30" s="14" t="s">
        <v>129</v>
      </c>
      <c r="X30">
        <v>67.8</v>
      </c>
      <c r="Y30">
        <v>3.4</v>
      </c>
      <c r="Z30">
        <v>8.9</v>
      </c>
    </row>
    <row r="31" spans="1:26">
      <c r="A31" s="14" t="s">
        <v>194</v>
      </c>
      <c r="B31" s="7">
        <v>45519</v>
      </c>
      <c r="C31" s="14" t="s">
        <v>195</v>
      </c>
      <c r="D31">
        <v>75234.600000000006</v>
      </c>
      <c r="E31">
        <v>0.78</v>
      </c>
      <c r="F31">
        <v>0.4</v>
      </c>
      <c r="G31">
        <v>0.9</v>
      </c>
      <c r="H31">
        <v>4.7</v>
      </c>
      <c r="I31">
        <v>8.25</v>
      </c>
      <c r="J31">
        <v>28.7</v>
      </c>
      <c r="K31" s="14" t="s">
        <v>196</v>
      </c>
      <c r="L31">
        <v>18.2</v>
      </c>
      <c r="M31">
        <v>-7.8</v>
      </c>
      <c r="N31">
        <v>71.099999999999994</v>
      </c>
      <c r="O31">
        <v>8.9</v>
      </c>
      <c r="P31">
        <v>4.5</v>
      </c>
      <c r="Q31">
        <v>0.82</v>
      </c>
      <c r="R31">
        <v>77.849999999999994</v>
      </c>
      <c r="S31">
        <v>2487.5</v>
      </c>
      <c r="T31">
        <v>11.78</v>
      </c>
      <c r="U31" s="14" t="s">
        <v>128</v>
      </c>
      <c r="V31">
        <v>5.9</v>
      </c>
      <c r="W31" s="14" t="s">
        <v>129</v>
      </c>
      <c r="X31">
        <v>89.3</v>
      </c>
      <c r="Y31">
        <v>2.1</v>
      </c>
      <c r="Z31">
        <v>1.8</v>
      </c>
    </row>
    <row r="32" spans="1:26">
      <c r="A32" s="14" t="s">
        <v>197</v>
      </c>
      <c r="B32" s="7">
        <v>45519</v>
      </c>
      <c r="C32" s="14" t="s">
        <v>198</v>
      </c>
      <c r="D32">
        <v>25678.9</v>
      </c>
      <c r="E32">
        <v>1.45</v>
      </c>
      <c r="F32">
        <v>0.03</v>
      </c>
      <c r="G32">
        <v>2.8</v>
      </c>
      <c r="H32">
        <v>33.1</v>
      </c>
      <c r="I32">
        <v>27.25</v>
      </c>
      <c r="J32">
        <v>7.2</v>
      </c>
      <c r="K32" s="14" t="s">
        <v>199</v>
      </c>
      <c r="L32">
        <v>30.9</v>
      </c>
      <c r="M32">
        <v>-49.7</v>
      </c>
      <c r="N32">
        <v>89.7</v>
      </c>
      <c r="O32">
        <v>-18.899999999999999</v>
      </c>
      <c r="P32">
        <v>8.9</v>
      </c>
      <c r="Q32">
        <v>0.71</v>
      </c>
      <c r="R32">
        <v>77.849999999999994</v>
      </c>
      <c r="S32">
        <v>2487.5</v>
      </c>
      <c r="T32">
        <v>19.45</v>
      </c>
      <c r="U32" s="14" t="s">
        <v>193</v>
      </c>
      <c r="V32">
        <v>4.2</v>
      </c>
      <c r="W32" s="14" t="s">
        <v>129</v>
      </c>
      <c r="X32">
        <v>56.7</v>
      </c>
      <c r="Y32">
        <v>12.3</v>
      </c>
      <c r="Z32">
        <v>23.4</v>
      </c>
    </row>
    <row r="33" spans="1:26">
      <c r="A33" s="14" t="s">
        <v>200</v>
      </c>
      <c r="B33" s="7">
        <v>45519</v>
      </c>
      <c r="C33" s="14" t="s">
        <v>201</v>
      </c>
      <c r="D33">
        <v>98765.4</v>
      </c>
      <c r="E33">
        <v>2.1</v>
      </c>
      <c r="F33">
        <v>0.04</v>
      </c>
      <c r="G33">
        <v>3.2</v>
      </c>
      <c r="H33">
        <v>21.8</v>
      </c>
      <c r="I33">
        <v>18.75</v>
      </c>
      <c r="J33">
        <v>5.0999999999999996</v>
      </c>
      <c r="K33" s="14" t="s">
        <v>202</v>
      </c>
      <c r="L33">
        <v>1567</v>
      </c>
      <c r="M33">
        <v>-68.900000000000006</v>
      </c>
      <c r="N33">
        <v>37.1</v>
      </c>
      <c r="O33">
        <v>34.5</v>
      </c>
      <c r="P33">
        <v>2.2999999999999998</v>
      </c>
      <c r="Q33">
        <v>0.68</v>
      </c>
      <c r="R33">
        <v>77.849999999999994</v>
      </c>
      <c r="S33">
        <v>2487.5</v>
      </c>
      <c r="T33">
        <v>14.67</v>
      </c>
      <c r="U33" s="14" t="s">
        <v>203</v>
      </c>
      <c r="V33">
        <v>3.8</v>
      </c>
      <c r="W33" s="14" t="s">
        <v>129</v>
      </c>
      <c r="X33">
        <v>78.900000000000006</v>
      </c>
      <c r="Y33">
        <v>23.4</v>
      </c>
      <c r="Z33">
        <v>34.5</v>
      </c>
    </row>
    <row r="34" spans="1:26">
      <c r="A34" s="14" t="s">
        <v>204</v>
      </c>
      <c r="B34" s="7">
        <v>45519</v>
      </c>
      <c r="C34" s="14" t="s">
        <v>205</v>
      </c>
      <c r="D34">
        <v>5678.9</v>
      </c>
      <c r="E34">
        <v>0.67</v>
      </c>
      <c r="F34">
        <v>0.2</v>
      </c>
      <c r="G34">
        <v>2.4</v>
      </c>
      <c r="H34">
        <v>4.0999999999999996</v>
      </c>
      <c r="I34">
        <v>5.75</v>
      </c>
      <c r="J34">
        <v>8.8000000000000007</v>
      </c>
      <c r="K34" s="14" t="s">
        <v>206</v>
      </c>
      <c r="L34">
        <v>967</v>
      </c>
      <c r="M34">
        <v>-8.9</v>
      </c>
      <c r="N34">
        <v>37.799999999999997</v>
      </c>
      <c r="O34">
        <v>23.4</v>
      </c>
      <c r="P34">
        <v>18.899999999999999</v>
      </c>
      <c r="Q34">
        <v>0.93</v>
      </c>
      <c r="R34">
        <v>77.849999999999994</v>
      </c>
      <c r="S34">
        <v>2487.5</v>
      </c>
      <c r="T34">
        <v>5.89</v>
      </c>
      <c r="U34" s="14" t="s">
        <v>148</v>
      </c>
      <c r="V34">
        <v>7.8</v>
      </c>
      <c r="W34" s="14" t="s">
        <v>105</v>
      </c>
      <c r="X34">
        <v>95.6</v>
      </c>
      <c r="Y34">
        <v>6.7</v>
      </c>
      <c r="Z34">
        <v>5.2</v>
      </c>
    </row>
    <row r="35" spans="1:26">
      <c r="A35" s="14" t="s">
        <v>207</v>
      </c>
      <c r="B35" s="7">
        <v>45519</v>
      </c>
      <c r="C35" s="14" t="s">
        <v>208</v>
      </c>
      <c r="D35">
        <v>1567890.2</v>
      </c>
      <c r="E35">
        <v>3.45</v>
      </c>
      <c r="F35">
        <v>0.05</v>
      </c>
      <c r="G35">
        <v>-1.6</v>
      </c>
      <c r="H35">
        <v>211.4</v>
      </c>
      <c r="I35">
        <v>133</v>
      </c>
      <c r="J35">
        <v>6.2</v>
      </c>
      <c r="K35" s="14" t="s">
        <v>209</v>
      </c>
      <c r="L35">
        <v>945</v>
      </c>
      <c r="M35">
        <v>-89.7</v>
      </c>
      <c r="N35">
        <v>78.900000000000006</v>
      </c>
      <c r="O35">
        <v>-23.4</v>
      </c>
      <c r="P35">
        <v>4.5</v>
      </c>
      <c r="Q35">
        <v>0.45</v>
      </c>
      <c r="R35">
        <v>77.849999999999994</v>
      </c>
      <c r="S35">
        <v>2487.5</v>
      </c>
      <c r="T35">
        <v>89.45</v>
      </c>
      <c r="U35" s="14" t="s">
        <v>210</v>
      </c>
      <c r="V35">
        <v>2.1</v>
      </c>
      <c r="W35" s="14" t="s">
        <v>129</v>
      </c>
      <c r="X35">
        <v>34.5</v>
      </c>
      <c r="Y35">
        <v>-12.3</v>
      </c>
      <c r="Z35">
        <v>15.6</v>
      </c>
    </row>
    <row r="36" spans="1:26">
      <c r="A36" s="14" t="s">
        <v>211</v>
      </c>
      <c r="B36" s="7">
        <v>45519</v>
      </c>
      <c r="C36" s="14" t="s">
        <v>212</v>
      </c>
      <c r="D36">
        <v>1234.5</v>
      </c>
      <c r="E36">
        <v>0.89</v>
      </c>
      <c r="F36">
        <v>0.1</v>
      </c>
      <c r="G36">
        <v>1.2</v>
      </c>
      <c r="H36">
        <v>7.2</v>
      </c>
      <c r="I36">
        <v>10.75</v>
      </c>
      <c r="J36">
        <v>10.199999999999999</v>
      </c>
      <c r="K36" s="14" t="s">
        <v>213</v>
      </c>
      <c r="L36">
        <v>4134</v>
      </c>
      <c r="M36">
        <v>-18.899999999999999</v>
      </c>
      <c r="N36">
        <v>56.7</v>
      </c>
      <c r="O36">
        <v>-12.1</v>
      </c>
      <c r="P36">
        <v>12.8</v>
      </c>
      <c r="Q36">
        <v>0.78</v>
      </c>
      <c r="R36">
        <v>77.849999999999994</v>
      </c>
      <c r="S36">
        <v>2487.5</v>
      </c>
      <c r="T36">
        <v>12.34</v>
      </c>
      <c r="U36" s="14" t="s">
        <v>139</v>
      </c>
      <c r="V36">
        <v>5.8</v>
      </c>
      <c r="W36" s="14" t="s">
        <v>105</v>
      </c>
      <c r="X36">
        <v>87.3</v>
      </c>
      <c r="Y36">
        <v>8.9</v>
      </c>
      <c r="Z36">
        <v>7.1</v>
      </c>
    </row>
    <row r="37" spans="1:26">
      <c r="A37" s="14" t="s">
        <v>214</v>
      </c>
      <c r="B37" s="7">
        <v>45519</v>
      </c>
      <c r="C37" s="14" t="s">
        <v>215</v>
      </c>
      <c r="D37">
        <v>23456.7</v>
      </c>
      <c r="E37">
        <v>1.1200000000000001</v>
      </c>
      <c r="F37">
        <v>0.08</v>
      </c>
      <c r="G37">
        <v>2.8</v>
      </c>
      <c r="H37">
        <v>2.8</v>
      </c>
      <c r="I37">
        <v>5.75</v>
      </c>
      <c r="J37">
        <v>6.4</v>
      </c>
      <c r="K37" s="14" t="s">
        <v>216</v>
      </c>
      <c r="L37">
        <v>3.78</v>
      </c>
      <c r="M37">
        <v>-6.7</v>
      </c>
      <c r="N37">
        <v>34.200000000000003</v>
      </c>
      <c r="O37">
        <v>8.9</v>
      </c>
      <c r="P37">
        <v>6.7</v>
      </c>
      <c r="Q37">
        <v>0.91</v>
      </c>
      <c r="R37">
        <v>77.849999999999994</v>
      </c>
      <c r="S37">
        <v>2487.5</v>
      </c>
      <c r="T37">
        <v>6.78</v>
      </c>
      <c r="U37" s="14" t="s">
        <v>179</v>
      </c>
      <c r="V37">
        <v>6.7</v>
      </c>
      <c r="W37" s="14" t="s">
        <v>105</v>
      </c>
      <c r="X37">
        <v>98.7</v>
      </c>
      <c r="Y37">
        <v>9.8000000000000007</v>
      </c>
      <c r="Z37">
        <v>8.1999999999999993</v>
      </c>
    </row>
    <row r="38" spans="1:26">
      <c r="A38" s="14" t="s">
        <v>217</v>
      </c>
      <c r="B38" s="7">
        <v>45519</v>
      </c>
      <c r="C38" s="14" t="s">
        <v>218</v>
      </c>
      <c r="D38">
        <v>9876.5</v>
      </c>
      <c r="E38">
        <v>0.34</v>
      </c>
      <c r="F38">
        <v>0.7</v>
      </c>
      <c r="G38">
        <v>3.9</v>
      </c>
      <c r="H38">
        <v>1.9</v>
      </c>
      <c r="I38">
        <v>5.4</v>
      </c>
      <c r="J38">
        <v>2.8</v>
      </c>
      <c r="K38" s="14" t="s">
        <v>219</v>
      </c>
      <c r="L38">
        <v>3.67</v>
      </c>
      <c r="M38">
        <v>0</v>
      </c>
      <c r="N38">
        <v>34.5</v>
      </c>
      <c r="O38">
        <v>67.8</v>
      </c>
      <c r="P38">
        <v>23.4</v>
      </c>
      <c r="Q38">
        <v>1.06</v>
      </c>
      <c r="R38">
        <v>77.849999999999994</v>
      </c>
      <c r="S38">
        <v>2487.5</v>
      </c>
      <c r="T38">
        <v>4.12</v>
      </c>
      <c r="U38" s="14" t="s">
        <v>115</v>
      </c>
      <c r="V38">
        <v>8.1999999999999993</v>
      </c>
      <c r="W38" s="14" t="s">
        <v>100</v>
      </c>
      <c r="X38">
        <v>134.5</v>
      </c>
      <c r="Y38">
        <v>23.4</v>
      </c>
      <c r="Z38">
        <v>18.899999999999999</v>
      </c>
    </row>
    <row r="39" spans="1:26">
      <c r="A39" s="14" t="s">
        <v>220</v>
      </c>
      <c r="B39" s="7">
        <v>45519</v>
      </c>
      <c r="C39" s="14" t="s">
        <v>221</v>
      </c>
      <c r="D39">
        <v>12345.6</v>
      </c>
      <c r="E39">
        <v>0.56000000000000005</v>
      </c>
      <c r="F39">
        <v>2.8</v>
      </c>
      <c r="G39">
        <v>1.1000000000000001</v>
      </c>
      <c r="H39">
        <v>-0.4</v>
      </c>
      <c r="I39">
        <v>6</v>
      </c>
      <c r="J39">
        <v>5.8</v>
      </c>
      <c r="K39" s="14" t="s">
        <v>222</v>
      </c>
      <c r="L39">
        <v>3.75</v>
      </c>
      <c r="M39">
        <v>0</v>
      </c>
      <c r="N39">
        <v>26.7</v>
      </c>
      <c r="O39">
        <v>34.5</v>
      </c>
      <c r="P39">
        <v>8.9</v>
      </c>
      <c r="Q39">
        <v>1.18</v>
      </c>
      <c r="R39">
        <v>77.849999999999994</v>
      </c>
      <c r="S39">
        <v>2487.5</v>
      </c>
      <c r="T39">
        <v>4.2300000000000004</v>
      </c>
      <c r="U39" s="14" t="s">
        <v>183</v>
      </c>
      <c r="V39">
        <v>6.9</v>
      </c>
      <c r="W39" s="14" t="s">
        <v>105</v>
      </c>
      <c r="X39">
        <v>98.7</v>
      </c>
      <c r="Y39">
        <v>12.3</v>
      </c>
      <c r="Z39">
        <v>8.9</v>
      </c>
    </row>
    <row r="40" spans="1:26">
      <c r="A40" s="14" t="s">
        <v>223</v>
      </c>
      <c r="B40" s="7">
        <v>45519</v>
      </c>
      <c r="C40" s="14" t="s">
        <v>224</v>
      </c>
      <c r="D40">
        <v>1987.3</v>
      </c>
      <c r="E40">
        <v>-0.78</v>
      </c>
      <c r="F40">
        <v>0.4</v>
      </c>
      <c r="G40">
        <v>2</v>
      </c>
      <c r="H40">
        <v>2.2999999999999998</v>
      </c>
      <c r="I40">
        <v>4.75</v>
      </c>
      <c r="J40">
        <v>3.4</v>
      </c>
      <c r="K40" s="14" t="s">
        <v>225</v>
      </c>
      <c r="L40">
        <v>3.68</v>
      </c>
      <c r="M40">
        <v>-2.1</v>
      </c>
      <c r="N40">
        <v>60.9</v>
      </c>
      <c r="O40">
        <v>23.4</v>
      </c>
      <c r="P40">
        <v>18.899999999999999</v>
      </c>
      <c r="Q40">
        <v>1.03</v>
      </c>
      <c r="R40">
        <v>77.849999999999994</v>
      </c>
      <c r="S40">
        <v>2487.5</v>
      </c>
      <c r="T40">
        <v>4.5599999999999996</v>
      </c>
      <c r="U40" s="14" t="s">
        <v>104</v>
      </c>
      <c r="V40">
        <v>6.8</v>
      </c>
      <c r="W40" s="14" t="s">
        <v>105</v>
      </c>
      <c r="X40">
        <v>89.7</v>
      </c>
      <c r="Y40">
        <v>5.6</v>
      </c>
      <c r="Z40">
        <v>4.2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F375-78B0-46D0-A161-28C6E1C8EE7E}">
  <dimension ref="A1"/>
  <sheetViews>
    <sheetView topLeftCell="C2"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1068F0-2920-406F-932D-87AF8F292B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u.saranya excel 1 mark</vt:lpstr>
      <vt:lpstr>2 mark</vt:lpstr>
      <vt:lpstr>Sheet6</vt:lpstr>
      <vt:lpstr>Sheet9</vt:lpstr>
      <vt:lpstr>dashboard</vt:lpstr>
      <vt:lpstr>Detail1</vt:lpstr>
      <vt:lpstr>Sheet10</vt:lpstr>
      <vt:lpstr>Sheet11</vt:lpstr>
      <vt:lpstr>Global finance data</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suriya u</dc:creator>
  <cp:lastModifiedBy>suriya u</cp:lastModifiedBy>
  <dcterms:created xsi:type="dcterms:W3CDTF">2025-09-19T03:43:38Z</dcterms:created>
  <dcterms:modified xsi:type="dcterms:W3CDTF">2025-09-19T09:22:58Z</dcterms:modified>
</cp:coreProperties>
</file>